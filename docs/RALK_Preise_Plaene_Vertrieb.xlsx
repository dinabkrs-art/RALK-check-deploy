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gende" sheetId="1" state="visible" r:id="rId1"/>
    <sheet xmlns:r="http://schemas.openxmlformats.org/officeDocument/2006/relationships" name="Marktvergleich" sheetId="2" state="visible" r:id="rId2"/>
    <sheet xmlns:r="http://schemas.openxmlformats.org/officeDocument/2006/relationships" name="Preise &amp; Pläne" sheetId="3" state="visible" r:id="rId3"/>
    <sheet xmlns:r="http://schemas.openxmlformats.org/officeDocument/2006/relationships" name="Mit Anwalts-Funnel" sheetId="4" state="visible" r:id="rId4"/>
    <sheet xmlns:r="http://schemas.openxmlformats.org/officeDocument/2006/relationships" name="Ohne Anwalt (Direkt)" sheetId="5" state="visible" r:id="rId5"/>
    <sheet xmlns:r="http://schemas.openxmlformats.org/officeDocument/2006/relationships" name="Vergleich" sheetId="6" state="visible" r:id="rId6"/>
    <sheet xmlns:r="http://schemas.openxmlformats.org/officeDocument/2006/relationships" name="Zielkunden – Register" sheetId="7" state="visible" r:id="rId7"/>
  </sheets>
  <definedNames>
    <definedName name="_xlnm._FilterDatabase" localSheetId="6" hidden="1">'Zielkunden – Register'!$B$5:$L$154</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quot;($&quot;#,##0\);\-"/>
    <numFmt numFmtId="166" formatCode="#,##0&quot; €&quot;;\(#,##0&quot; €)&quot;;\-"/>
    <numFmt numFmtId="167" formatCode="\$#,##0.00"/>
    <numFmt numFmtId="168" formatCode="0.0%;\(0.0%\);\-"/>
    <numFmt numFmtId="169" formatCode="#,##0.0;\(#,##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9"/>
    </font>
    <font>
      <name val="Arial"/>
      <charset val="1"/>
      <family val="0"/>
      <b val="1"/>
      <sz val="11"/>
    </font>
    <font>
      <name val="Arial"/>
      <charset val="1"/>
      <family val="0"/>
      <sz val="11"/>
    </font>
    <font>
      <name val="Arial"/>
      <charset val="1"/>
      <family val="0"/>
      <color rgb="FF0000FF"/>
      <sz val="11"/>
    </font>
    <font>
      <name val="Arial"/>
      <charset val="1"/>
      <family val="0"/>
      <b val="1"/>
      <color rgb="FFFFFFFF"/>
      <sz val="11"/>
    </font>
    <font>
      <name val="Arial"/>
      <charset val="1"/>
      <family val="0"/>
      <color rgb="FF0563C1"/>
      <sz val="11"/>
      <u val="single"/>
    </font>
    <font>
      <name val="Arial"/>
      <family val="2"/>
      <sz val="10"/>
    </font>
    <font>
      <name val="Arial"/>
      <charset val="1"/>
      <family val="0"/>
      <color rgb="FF008000"/>
      <sz val="11"/>
    </font>
  </fonts>
  <fills count="5">
    <fill>
      <patternFill/>
    </fill>
    <fill>
      <patternFill patternType="gray125"/>
    </fill>
    <fill>
      <patternFill patternType="solid">
        <fgColor rgb="FFFFFF00"/>
        <bgColor rgb="FFFFFF00"/>
      </patternFill>
    </fill>
    <fill>
      <patternFill patternType="solid">
        <fgColor rgb="FF1F1F1F"/>
        <bgColor rgb="FF333300"/>
      </patternFill>
    </fill>
    <fill>
      <patternFill patternType="solid">
        <fgColor rgb="FFF3E7C4"/>
        <bgColor rgb="FFFFFF9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9" fillId="3" borderId="0" applyAlignment="1" pivotButton="0" quotePrefix="0" xfId="0">
      <alignment horizontal="general" vertical="center" wrapText="1"/>
    </xf>
    <xf numFmtId="0" fontId="10" fillId="0" borderId="0" applyAlignment="1" pivotButton="0" quotePrefix="0" xfId="0">
      <alignment horizontal="general" vertical="bottom"/>
    </xf>
    <xf numFmtId="164" fontId="8" fillId="2" borderId="1" applyAlignment="1" pivotButton="0" quotePrefix="0" xfId="0">
      <alignment horizontal="general" vertical="bottom"/>
    </xf>
    <xf numFmtId="165" fontId="8" fillId="2" borderId="1" applyAlignment="1" pivotButton="0" quotePrefix="0" xfId="0">
      <alignment horizontal="general" vertical="bottom"/>
    </xf>
    <xf numFmtId="166" fontId="7" fillId="0" borderId="0" applyAlignment="1" pivotButton="0" quotePrefix="0" xfId="0">
      <alignment horizontal="general" vertical="bottom"/>
    </xf>
    <xf numFmtId="165" fontId="7" fillId="0" borderId="0" applyAlignment="1" pivotButton="0" quotePrefix="0" xfId="0">
      <alignment horizontal="general" vertical="bottom"/>
    </xf>
    <xf numFmtId="2" fontId="8" fillId="2" borderId="1" applyAlignment="1" pivotButton="0" quotePrefix="0" xfId="0">
      <alignment horizontal="general" vertical="bottom"/>
    </xf>
    <xf numFmtId="0" fontId="7" fillId="4" borderId="0" applyAlignment="1" pivotButton="0" quotePrefix="0" xfId="0">
      <alignment horizontal="general" vertical="top" wrapText="1"/>
    </xf>
    <xf numFmtId="165" fontId="6" fillId="0" borderId="0" applyAlignment="1" pivotButton="0" quotePrefix="0" xfId="0">
      <alignment horizontal="general" vertical="bottom"/>
    </xf>
    <xf numFmtId="167" fontId="7" fillId="0" borderId="0" applyAlignment="1" pivotButton="0" quotePrefix="0" xfId="0">
      <alignment horizontal="general" vertical="bottom"/>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168" fontId="8" fillId="2" borderId="1" applyAlignment="1" pivotButton="0" quotePrefix="0" xfId="0">
      <alignment horizontal="general" vertical="bottom"/>
    </xf>
    <xf numFmtId="169" fontId="7" fillId="0" borderId="0" applyAlignment="1" pivotButton="0" quotePrefix="0" xfId="0">
      <alignment horizontal="general" vertical="bottom"/>
    </xf>
    <xf numFmtId="169" fontId="6" fillId="0" borderId="0" applyAlignment="1" pivotButton="0" quotePrefix="0" xfId="0">
      <alignment horizontal="general" vertical="bottom"/>
    </xf>
    <xf numFmtId="169" fontId="8" fillId="2" borderId="1" applyAlignment="1" pivotButton="0" quotePrefix="0" xfId="0">
      <alignment horizontal="general" vertical="bottom"/>
    </xf>
    <xf numFmtId="165" fontId="12" fillId="0" borderId="0" applyAlignment="1" pivotButton="0" quotePrefix="0" xfId="0">
      <alignment horizontal="general" vertical="bottom"/>
    </xf>
    <xf numFmtId="167" fontId="8" fillId="2" borderId="1" applyAlignment="1" pivotButton="0" quotePrefix="0" xfId="0">
      <alignment horizontal="general" vertical="bottom"/>
    </xf>
    <xf numFmtId="168" fontId="7" fillId="0" borderId="0" applyAlignment="1" pivotButton="0" quotePrefix="0" xfId="0">
      <alignment horizontal="general" vertical="bottom"/>
    </xf>
    <xf numFmtId="169" fontId="12"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9" fillId="3" borderId="0" applyAlignment="1" pivotButton="0" quotePrefix="0" xfId="0">
      <alignment horizontal="general" vertical="center" wrapText="1"/>
    </xf>
    <xf numFmtId="0" fontId="10" fillId="0" borderId="0" applyAlignment="1" pivotButton="0" quotePrefix="0" xfId="0">
      <alignment horizontal="general" vertical="bottom"/>
    </xf>
    <xf numFmtId="164" fontId="8" fillId="2" borderId="1" applyAlignment="1" pivotButton="0" quotePrefix="0" xfId="0">
      <alignment horizontal="general" vertical="bottom"/>
    </xf>
    <xf numFmtId="165" fontId="8" fillId="2" borderId="1" applyAlignment="1" pivotButton="0" quotePrefix="0" xfId="0">
      <alignment horizontal="general" vertical="bottom"/>
    </xf>
    <xf numFmtId="166" fontId="7" fillId="0" borderId="0" applyAlignment="1" pivotButton="0" quotePrefix="0" xfId="0">
      <alignment horizontal="general" vertical="bottom"/>
    </xf>
    <xf numFmtId="165" fontId="7" fillId="0" borderId="0" applyAlignment="1" pivotButton="0" quotePrefix="0" xfId="0">
      <alignment horizontal="general" vertical="bottom"/>
    </xf>
    <xf numFmtId="2" fontId="8" fillId="2" borderId="1" applyAlignment="1" pivotButton="0" quotePrefix="0" xfId="0">
      <alignment horizontal="general" vertical="bottom"/>
    </xf>
    <xf numFmtId="0" fontId="7" fillId="4" borderId="0" applyAlignment="1" pivotButton="0" quotePrefix="0" xfId="0">
      <alignment horizontal="general" vertical="top" wrapText="1"/>
    </xf>
    <xf numFmtId="165" fontId="6" fillId="0" borderId="0" applyAlignment="1" pivotButton="0" quotePrefix="0" xfId="0">
      <alignment horizontal="general" vertical="bottom"/>
    </xf>
    <xf numFmtId="167" fontId="7" fillId="0" borderId="0" applyAlignment="1" pivotButton="0" quotePrefix="0" xfId="0">
      <alignment horizontal="general" vertical="bottom"/>
    </xf>
    <xf numFmtId="0" fontId="6" fillId="0" borderId="0" applyAlignment="1" pivotButton="0" quotePrefix="0" xfId="0">
      <alignment horizontal="general" vertical="top" wrapText="1"/>
    </xf>
    <xf numFmtId="164" fontId="7" fillId="0" borderId="0" applyAlignment="1" pivotButton="0" quotePrefix="0" xfId="0">
      <alignment horizontal="general" vertical="bottom"/>
    </xf>
    <xf numFmtId="168" fontId="8" fillId="2" borderId="1" applyAlignment="1" pivotButton="0" quotePrefix="0" xfId="0">
      <alignment horizontal="general" vertical="bottom"/>
    </xf>
    <xf numFmtId="169" fontId="7" fillId="0" borderId="0" applyAlignment="1" pivotButton="0" quotePrefix="0" xfId="0">
      <alignment horizontal="general" vertical="bottom"/>
    </xf>
    <xf numFmtId="169" fontId="6" fillId="0" borderId="0" applyAlignment="1" pivotButton="0" quotePrefix="0" xfId="0">
      <alignment horizontal="general" vertical="bottom"/>
    </xf>
    <xf numFmtId="169" fontId="8" fillId="2" borderId="1" applyAlignment="1" pivotButton="0" quotePrefix="0" xfId="0">
      <alignment horizontal="general" vertical="bottom"/>
    </xf>
    <xf numFmtId="165" fontId="12" fillId="0" borderId="0" applyAlignment="1" pivotButton="0" quotePrefix="0" xfId="0">
      <alignment horizontal="general" vertical="bottom"/>
    </xf>
    <xf numFmtId="167" fontId="8" fillId="2" borderId="1" applyAlignment="1" pivotButton="0" quotePrefix="0" xfId="0">
      <alignment horizontal="general" vertical="bottom"/>
    </xf>
    <xf numFmtId="168" fontId="7" fillId="0" borderId="0" applyAlignment="1" pivotButton="0" quotePrefix="0" xfId="0">
      <alignment horizontal="general" vertical="bottom"/>
    </xf>
    <xf numFmtId="169" fontId="12" fillId="0" borderId="0" applyAlignment="1" pivotButton="0" quotePrefix="0" xfId="0">
      <alignment horizontal="general" vertical="bottom"/>
    </xf>
    <xf numFmtId="0" fontId="1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1F1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3E7C4"/>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1F1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C6" authorId="0" shapeId="0">
      <text>
        <t>Obergrenze der Klasse (Mitarbeiterzahl).</t>
      </text>
    </comment>
    <comment ref="D6" authorId="0" shapeId="0">
      <text>
        <t>Preisstaffel Okt. 2026 (3 Stufen, Grenzen nach Marktvergleich; 45 $ für Großorganisationen wie mit Achapa vereinbart).</t>
      </text>
    </comment>
    <comment ref="C7" authorId="0" shapeId="0">
      <text>
        <t>Obergrenze der Klasse (Mitarbeiterzahl).</t>
      </text>
    </comment>
    <comment ref="D7" authorId="0" shapeId="0">
      <text>
        <t>Preisstaffel Okt. 2026 (3 Stufen, Grenzen nach Marktvergleich; 45 $ für Großorganisationen wie mit Achapa vereinbart).</t>
      </text>
    </comment>
    <comment ref="C8" authorId="0" shapeId="0">
      <text>
        <t>Obergrenze der Klasse (Mitarbeiterzahl). Letzte Klasse = unbegrenzt.</t>
      </text>
    </comment>
    <comment ref="D8" authorId="0" shapeId="0">
      <text>
        <t>Preisstaffel Okt. 2026 (3 Stufen, Grenzen nach Marktvergleich; 45 $ für Großorganisationen wie mit Achapa vereinbart).</t>
      </text>
    </comment>
    <comment ref="C11" authorId="0" shapeId="0">
      <text>
        <t>Quelle: RALK_Preismodell, „Mindest-Jahreslizenz (Floor)“.</t>
      </text>
    </comment>
    <comment ref="C12" authorId="0" shapeId="0">
      <text>
        <t>Quelle: RALK_Preismodell, Blatt „Annahmen“. Bei Bedarf aktualisieren.</t>
      </text>
    </comment>
    <comment ref="C13" authorId="0" shapeId="0">
      <text>
        <t>Gestrichen (früher 15 %, mind. 2.500 €).</t>
      </text>
    </comment>
    <comment ref="C24" authorId="0" shapeId="0">
      <text>
        <t>Hier die Mitarbeiterzahl eintragen.</t>
      </text>
    </comment>
  </commentList>
</comments>
</file>

<file path=xl/comments/comment2.xml><?xml version="1.0" encoding="utf-8"?>
<comments xmlns="http://schemas.openxmlformats.org/spreadsheetml/2006/main">
  <authors>
    <author>Unknown Author</author>
  </authors>
  <commentList>
    <comment ref="C6" authorId="0" shapeId="0">
      <text>
        <t>Quelle: deine Versandliste (10 Länder).</t>
      </text>
    </comment>
    <comment ref="C7" authorId="0" shapeId="0">
      <text>
        <t>Quelle: deine Versandliste.</t>
      </text>
    </comment>
    <comment ref="C9" authorId="0" shapeId="0">
      <text>
        <t>Annahme aus deinem Modell (Kaltakquise 8–12 %).</t>
      </text>
    </comment>
    <comment ref="C11" authorId="0" shapeId="0">
      <text>
        <t>Annahme aus deinem Modell.</t>
      </text>
    </comment>
    <comment ref="C13" authorId="0" shapeId="0">
      <text>
        <t>Laut deinem Modell haben 18 Kanzleien zugesagt. Nicht jede Zusage wird aktiver Empfehler.</t>
      </text>
    </comment>
    <comment ref="C16" authorId="0" shapeId="0">
      <text>
        <t>Annahme – mit echten Zahlen schärfen.</t>
      </text>
    </comment>
    <comment ref="C17" authorId="0" shapeId="0">
      <text>
        <t>Mittelkunde aus deinem Modell (KMU/Öl/Schifffahrt).</t>
      </text>
    </comment>
    <comment ref="C19" authorId="0" shapeId="0">
      <text>
        <t>Aus deinem Modell (Middle).</t>
      </text>
    </comment>
    <comment ref="C20" authorId="0" shapeId="0">
      <text>
        <t>Vereinbarung mit Partner-Anwälten.</t>
      </text>
    </comment>
    <comment ref="C21" authorId="0" shapeId="0">
      <text>
        <t>Vereinbarung mit Partner-Anwälten.</t>
      </text>
    </comment>
    <comment ref="C22" authorId="0" shapeId="0">
      <text>
        <t>Aus deinem Modell (1.001–10.000 Nutzer: 1,50).</t>
      </text>
    </comment>
    <comment ref="C23" authorId="0" shapeId="0">
      <text>
        <t>5.640,12 € aus deinem Modell ÷ 0,92 ≈ 6.130 $.</t>
      </text>
    </comment>
  </commentList>
</comments>
</file>

<file path=xl/comments/comment3.xml><?xml version="1.0" encoding="utf-8"?>
<comments xmlns="http://schemas.openxmlformats.org/spreadsheetml/2006/main">
  <authors>
    <author>Unknown Author</author>
  </authors>
  <commentList>
    <comment ref="C6" authorId="0" shapeId="0">
      <text>
        <t>Aus öffentlichen Registern (Blatt „Zielkunden – Register“). Annahme.</t>
      </text>
    </comment>
    <comment ref="C7" authorId="0" shapeId="0">
      <text>
        <t>Annahme für kalte B2B-Ansprache an Institute.</t>
      </text>
    </comment>
    <comment ref="C8" authorId="0" shapeId="0">
      <text>
        <t>Annahme.</t>
      </text>
    </comment>
    <comment ref="C10" authorId="0" shapeId="0">
      <text>
        <t>Annahme: ca. 500 $/Monat.</t>
      </text>
    </comment>
    <comment ref="C11" authorId="0" shapeId="0">
      <text>
        <t>Annahme für B2B-Leads in Subsahara-Afrika.</t>
      </text>
    </comment>
    <comment ref="C12" authorId="0" shapeId="0">
      <text>
        <t>Annahme.</t>
      </text>
    </comment>
    <comment ref="C14" authorId="0" shapeId="0">
      <text>
        <t>Annahme.</t>
      </text>
    </comment>
    <comment ref="C15" authorId="0" shapeId="0">
      <text>
        <t>Annahme.</t>
      </text>
    </comment>
    <comment ref="C18" authorId="0" shapeId="0">
      <text>
        <t>Annahme: mehr Bekanntheit, Empfehlungen.</t>
      </text>
    </comment>
    <comment ref="C21" authorId="0" shapeId="0">
      <text>
        <t>Annahme: Direktkunden eher kleiner als über Anwälte.</t>
      </text>
    </comment>
    <comment ref="C23" authorId="0" shapeId="0">
      <text>
        <t>Wie im Anwalts-Modell.</t>
      </text>
    </comment>
    <comment ref="C24" authorId="0" shapeId="0">
      <text>
        <t>Aus deinem Modell (bis 1.000 Nutzer: 3).</t>
      </text>
    </comment>
    <comment ref="C25" authorId="0" shapeId="0">
      <text>
        <t>5.640,12 € ÷ 0,92.</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cloudwards.net/google-workspace-plans-and-pricing/" TargetMode="External" Id="rId1"/><Relationship Type="http://schemas.openxmlformats.org/officeDocument/2006/relationships/hyperlink" Target="https://sanka.com/docs/migrate/tco/microsoft-365/" TargetMode="External" Id="rId2"/><Relationship Type="http://schemas.openxmlformats.org/officeDocument/2006/relationships/hyperlink" Target="https://community.atlassian.com/forums/discussion/3284604/jira-pricing-how-much-does-jira-cost-in-2026" TargetMode="External" Id="rId3"/><Relationship Type="http://schemas.openxmlformats.org/officeDocument/2006/relationships/hyperlink" Target="https://www.knowbe4.com/products/security-awareness-training-quote" TargetMode="External" Id="rId4"/><Relationship Type="http://schemas.openxmlformats.org/officeDocument/2006/relationships/hyperlink" Target="https://coggno.com/blog/compliance-training-pricing-2026/" TargetMode="External" Id="rId5"/><Relationship Type="http://schemas.openxmlformats.org/officeDocument/2006/relationships/hyperlink" Target="https://www.kyclookup.com/knowledgebase/best-aml-training-courses-uk/" TargetMode="External" Id="rId6"/></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https://www.bceao.int/sites/default/files/2026-04/LISTE%20DES%20&#201;TABLISSEMENTS%20DE%20CR&#201;DIT%20AGR&#201;&#201;S%20DANS%20L'UMOA%20au%2031%20d&#233;cembre%202025.pdf" TargetMode="External" Id="rId1"/><Relationship Type="http://schemas.openxmlformats.org/officeDocument/2006/relationships/hyperlink" Target="https://www.bceao.int/sites/default/files/2026-04/Annuaire-des-Banques-etablissements-financiers-a-caractere-bancaire-et-compagnies-financieres-de-l-UMOA-2024_mars_2026.pdf" TargetMode="External" Id="rId2"/><Relationship Type="http://schemas.openxmlformats.org/officeDocument/2006/relationships/hyperlink" Target="https://www.bceao.int/fr/content/paysage-bancaire" TargetMode="External" Id="rId3"/><Relationship Type="http://schemas.openxmlformats.org/officeDocument/2006/relationships/hyperlink" Target="https://cb-umoa.org/en/institutions-regulated-wamu-banking-commission" TargetMode="External" Id="rId4"/><Relationship Type="http://schemas.openxmlformats.org/officeDocument/2006/relationships/hyperlink" Target="http://www.sgcobac.org/jcms/ess_7505/en/organes-faitiers?opLetterSearch=true&amp;directoryLetter=B&amp;memberId=&amp;directory_start=20&amp;directory_pageSize=50" TargetMode="External" Id="rId5"/><Relationship Type="http://schemas.openxmlformats.org/officeDocument/2006/relationships/hyperlink" Target="https://www.beac.int/supervision-bancaire/lexique-banques-de-cemac/" TargetMode="External" Id="rId6"/><Relationship Type="http://schemas.openxmlformats.org/officeDocument/2006/relationships/hyperlink" Target="https://www.amf-umoa.org/accueil/intervenant" TargetMode="External" Id="rId7"/><Relationship Type="http://schemas.openxmlformats.org/officeDocument/2006/relationships/hyperlink" Target="https://cosumaf.org/liste-intermediaires?category=cif" TargetMode="External" Id="rId8"/><Relationship Type="http://schemas.openxmlformats.org/officeDocument/2006/relationships/hyperlink" Target="https://cosumaf.org/files/documents/01KQRSJ4VRDZJ12Q805HTX1QYE.pdf" TargetMode="External" Id="rId9"/><Relationship Type="http://schemas.openxmlformats.org/officeDocument/2006/relationships/hyperlink" Target="https://www.fatf-gafi.org/en/publications/High-risk-and-other-monitored-jurisdictions/increased-monitoring-june-2026.html" TargetMode="External" Id="rId10"/><Relationship Type="http://schemas.openxmlformats.org/officeDocument/2006/relationships/hyperlink" Target="https://www.fatf-gafi.org/en/countries/black-and-grey-lists.html" TargetMode="External" Id="rId11"/><Relationship Type="http://schemas.openxmlformats.org/officeDocument/2006/relationships/hyperlink" Target="https://www.giaba.org/member-states/pages_faq.html" TargetMode="External" Id="rId12"/><Relationship Type="http://schemas.openxmlformats.org/officeDocument/2006/relationships/hyperlink" Target="https://www.giaba.org/publications/index.html?cat=4" TargetMode="External" Id="rId13"/><Relationship Type="http://schemas.openxmlformats.org/officeDocument/2006/relationships/hyperlink" Target="https://www.esaamlg.org/index.php/countries" TargetMode="External" Id="rId14"/><Relationship Type="http://schemas.openxmlformats.org/officeDocument/2006/relationships/hyperlink" Target="https://www.esaamlg.org/reports/Second%20Round%20MER%20of%20Rwanda-July%202024.pdf" TargetMode="External" Id="rId15"/><Relationship Type="http://schemas.openxmlformats.org/officeDocument/2006/relationships/hyperlink" Target="https://gabac.org/rapports-devaluation-mutuelle/" TargetMode="External" Id="rId16"/><Relationship Type="http://schemas.openxmlformats.org/officeDocument/2006/relationships/hyperlink" Target="https://www.bceao.int/sites/default/files/inline-files/Liste-des-Intermediaires-en-Operation-de-Banque-au-31-decembre-2025.pdf" TargetMode="External" Id="rId17"/><Relationship Type="http://schemas.openxmlformats.org/officeDocument/2006/relationships/hyperlink" Target="https://fanaf.org/wp-content/uploads/2025/04/ANNUAIRE_FANAF_2023_32e_Edition.pdf" TargetMode="External" Id="rId18"/><Relationship Type="http://schemas.openxmlformats.org/officeDocument/2006/relationships/hyperlink" Target="https://cima-afrique.org/wp-content/uploads/2025/03/Bulletin-Officiel-30eme-Edition_compressed.pdf" TargetMode="External" Id="rId19"/><Relationship Type="http://schemas.openxmlformats.org/officeDocument/2006/relationships/hyperlink" Target="https://cima-afrique.org/wp-content/uploads/2024/10/rapport-des-marches-CIMA-2022.pdf" TargetMode="External" Id="rId20"/><Relationship Type="http://schemas.openxmlformats.org/officeDocument/2006/relationships/hyperlink" Target="https://cb-umoa.org/en/landscape-reporting-institutions" TargetMode="External" Id="rId21"/><Relationship Type="http://schemas.openxmlformats.org/officeDocument/2006/relationships/hyperlink" Target="https://www.bceao.int/fr/documents/credit-et-microfinance" TargetMode="External" Id="rId22"/><Relationship Type="http://schemas.openxmlformats.org/officeDocument/2006/relationships/hyperlink" Target="https://www.bceao.int/sites/default/files/2026-03/LISTE%20DES%20ETABLISSEMENTS%20DE%20PAIEMENT%20AGR&#201;&#201;S%20DANS%20L&#8217;UMOA%20au%2031%20janvier%202026.pdf" TargetMode="External" Id="rId23"/><Relationship Type="http://schemas.openxmlformats.org/officeDocument/2006/relationships/hyperlink" Target="https://www.bceao.int/fr/content/etablissements-de-monnaie-electronique" TargetMode="External" Id="rId24"/><Relationship Type="http://schemas.openxmlformats.org/officeDocument/2006/relationships/hyperlink" Target="https://www.cb-umoa.org/sites/default/files/Liste%20%20des%20EME%20ET%20EP%20de%20l%27UMOA%202026.pdf" TargetMode="External" Id="rId25"/><Relationship Type="http://schemas.openxmlformats.org/officeDocument/2006/relationships/hyperlink" Target="https://www.beac.int/wp-content/uploads/2026/04/RAPPORT-SUR-LES-SERVICES-DE-PAIEMENT-DANS-LA-CEMAC-2024-.pdf" TargetMode="External" Id="rId26"/><Relationship Type="http://schemas.openxmlformats.org/officeDocument/2006/relationships/hyperlink" Target="https://www.bcc.cd/intermediaires-financiers/banques-agreees" TargetMode="External" Id="rId27"/><Relationship Type="http://schemas.openxmlformats.org/officeDocument/2006/relationships/hyperlink" Target="https://www.bcc.cd/intermediaires-financiers" TargetMode="External" Id="rId28"/><Relationship Type="http://schemas.openxmlformats.org/officeDocument/2006/relationships/hyperlink" Target="https://www.bcc.cd/intermediaires-financiers/messageries-financieres" TargetMode="External" Id="rId29"/><Relationship Type="http://schemas.openxmlformats.org/officeDocument/2006/relationships/hyperlink" Target="https://www.acb-rdc.cd/" TargetMode="External" Id="rId30"/><Relationship Type="http://schemas.openxmlformats.org/officeDocument/2006/relationships/hyperlink" Target="https://arca.cd/societes-dassurances-2/" TargetMode="External" Id="rId31"/><Relationship Type="http://schemas.openxmlformats.org/officeDocument/2006/relationships/hyperlink" Target="https://arca.cd/intermediaires/" TargetMode="External" Id="rId32"/><Relationship Type="http://schemas.openxmlformats.org/officeDocument/2006/relationships/hyperlink" Target="https://www.bcc.cd/intermediaires-financiers/microfinance" TargetMode="External" Id="rId33"/><Relationship Type="http://schemas.openxmlformats.org/officeDocument/2006/relationships/hyperlink" Target="https://www.bcc.cd/intermediaires-financiers/caisse-epargne-credit" TargetMode="External" Id="rId34"/><Relationship Type="http://schemas.openxmlformats.org/officeDocument/2006/relationships/hyperlink" Target="https://www.bcc.cd/surveillance-des-intermediaires-financiers/intermediaires-financiers-assujettis/etablissements-de-credit/societes-financieres/ee" TargetMode="External" Id="rId35"/><Relationship Type="http://schemas.openxmlformats.org/officeDocument/2006/relationships/hyperlink" Target="https://www.bcc.cd/intermediaires-financiers/prestataires-services-connexes" TargetMode="External" Id="rId36"/><Relationship Type="http://schemas.openxmlformats.org/officeDocument/2006/relationships/hyperlink" Target="https://www.leganet.cd/Legislation/JO/2015/Numeros/JOS.19.02.2015.pdf" TargetMode="External" Id="rId37"/><Relationship Type="http://schemas.openxmlformats.org/officeDocument/2006/relationships/hyperlink" Target="https://www.centralbank.go.ke/wp-content/uploads/2026/07/Directory-of-Licenced-Commercial-Banks-Mortgage-Finance-Institutions-and-Authorised-Non-Operating-Bank-Holding-Companies.pdf" TargetMode="External" Id="rId38"/><Relationship Type="http://schemas.openxmlformats.org/officeDocument/2006/relationships/hyperlink" Target="https://www.centralbank.go.ke/bank-supervision/" TargetMode="External" Id="rId39"/><Relationship Type="http://schemas.openxmlformats.org/officeDocument/2006/relationships/hyperlink" Target="https://licensees.cma.or.ke/licenses/1/" TargetMode="External" Id="rId40"/><Relationship Type="http://schemas.openxmlformats.org/officeDocument/2006/relationships/hyperlink" Target="https://www.frc.go.ke/?page_id=25" TargetMode="External" Id="rId41"/><Relationship Type="http://schemas.openxmlformats.org/officeDocument/2006/relationships/hyperlink" Target="https://www.centralbank.go.ke/wp-content/uploads/2026/02/Directory-of-Licenced-Foreign-Exchange-Bureaus-Feb-2026.pdf" TargetMode="External" Id="rId42"/><Relationship Type="http://schemas.openxmlformats.org/officeDocument/2006/relationships/hyperlink" Target="https://www.centralbank.go.ke/wp-content/uploads/2026/02/Directory-of-Licenced-Money-Remittance-Providers-Feb-2026.pdf" TargetMode="External" Id="rId43"/><Relationship Type="http://schemas.openxmlformats.org/officeDocument/2006/relationships/hyperlink" Target="https://www.kba.co.ke/kba-members/" TargetMode="External" Id="rId44"/><Relationship Type="http://schemas.openxmlformats.org/officeDocument/2006/relationships/hyperlink" Target="https://www.ira.go.ke/lib.html?f=ira-licensed-insurers-and-intermediaries-2025" TargetMode="External" Id="rId45"/><Relationship Type="http://schemas.openxmlformats.org/officeDocument/2006/relationships/hyperlink" Target="https://www.centralbank.go.ke/wp-content/uploads/2026/02/Directory-of-Licenced-Microfinance-Banks-Feb-2026.pdf" TargetMode="External" Id="rId46"/><Relationship Type="http://schemas.openxmlformats.org/officeDocument/2006/relationships/hyperlink" Target="https://www.sasra.go.ke/download/list-of-licensed-and-authorized-sacco-societies-in-kenya-for-the-financial-year-ending-31st-december-2026/" TargetMode="External" Id="rId47"/><Relationship Type="http://schemas.openxmlformats.org/officeDocument/2006/relationships/hyperlink" Target="https://www.centralbank.go.ke/wp-content/uploads/2026/06/Directory-of-Authorized-Payment-Service-Providers-15th-May-2026.pdf" TargetMode="External" Id="rId48"/><Relationship Type="http://schemas.openxmlformats.org/officeDocument/2006/relationships/hyperlink" Target="https://old.icpak.com/cpa-directory" TargetMode="External" Id="rId49"/><Relationship Type="http://schemas.openxmlformats.org/officeDocument/2006/relationships/hyperlink" Target="https://online.lsk.or.ke/" TargetMode="External" Id="rId50"/><Relationship Type="http://schemas.openxmlformats.org/officeDocument/2006/relationships/hyperlink" Target="https://www.centralbank.go.ke/uploads/press_releases/665231223_Public%20Notice%20on%20the%20Virtual%20Assets%20Service%20Providers%20Act%202025.pdf" TargetMode="External" Id="rId51"/><Relationship Type="http://schemas.openxmlformats.org/officeDocument/2006/relationships/hyperlink" Target="https://www.cbn.gov.ng/supervision/finstitutions.html" TargetMode="External" Id="rId52"/><Relationship Type="http://schemas.openxmlformats.org/officeDocument/2006/relationships/hyperlink" Target="https://www.cbn.gov.ng/Out/2024/CCD/LIST%20OF%20DEPOSIT%20MONEY%20BANKS%20AS%20AT%2026TH%20APRIL,%202024%20(1).pdf" TargetMode="External" Id="rId53"/><Relationship Type="http://schemas.openxmlformats.org/officeDocument/2006/relationships/hyperlink" Target="https://sec.gov.ng/" TargetMode="External" Id="rId54"/><Relationship Type="http://schemas.openxmlformats.org/officeDocument/2006/relationships/hyperlink" Target="https://www.nfiu.gov.ng/index.php/nfiu" TargetMode="External" Id="rId55"/><Relationship Type="http://schemas.openxmlformats.org/officeDocument/2006/relationships/hyperlink" Target="https://scuml.efcc.gov.ng/" TargetMode="External" Id="rId56"/><Relationship Type="http://schemas.openxmlformats.org/officeDocument/2006/relationships/hyperlink" Target="https://www.cbn.gov.ng/Out/2022/FPRD/LIST%20OF%20CBN%20LICENCED%20BUREAUX%20DE%20CHANGE%20AS%20AT%20DECEMBER%2031,%202021.pdf" TargetMode="External" Id="rId57"/><Relationship Type="http://schemas.openxmlformats.org/officeDocument/2006/relationships/hyperlink" Target="https://www.cibng.org/overview-membership/" TargetMode="External" Id="rId58"/><Relationship Type="http://schemas.openxmlformats.org/officeDocument/2006/relationships/hyperlink" Target="https://naicom.gov.ng/insurance-operators/" TargetMode="External" Id="rId59"/><Relationship Type="http://schemas.openxmlformats.org/officeDocument/2006/relationships/hyperlink" Target="https://naicom.gov.ng/wp-content/uploads/2026/08/List-of-Insurance-Companies-that-Complied-with-the-MCR-Prescribed-by-NIIRA-2025.pdf" TargetMode="External" Id="rId60"/><Relationship Type="http://schemas.openxmlformats.org/officeDocument/2006/relationships/hyperlink" Target="https://www.cbn.gov.ng/Out/2022/FPRD/List%20of%20Microfinance%20Banks%20as%20at%20December%2031,%202021.pdf" TargetMode="External" Id="rId61"/><Relationship Type="http://schemas.openxmlformats.org/officeDocument/2006/relationships/hyperlink" Target="https://www.cbn.gov.ng/PaymentsSystem/PSPs.html" TargetMode="External" Id="rId62"/><Relationship Type="http://schemas.openxmlformats.org/officeDocument/2006/relationships/hyperlink" Target="https://www.cbn.gov.ng/Supervision/Inst-PSB.asp" TargetMode="External" Id="rId63"/><Relationship Type="http://schemas.openxmlformats.org/officeDocument/2006/relationships/hyperlink" Target="https://nigerianbar.org.ng/find-lawyer" TargetMode="External" Id="rId64"/><Relationship Type="http://schemas.openxmlformats.org/officeDocument/2006/relationships/hyperlink" Target="https://icanig.org/" TargetMode="External" Id="rId65"/><Relationship Type="http://schemas.openxmlformats.org/officeDocument/2006/relationships/hyperlink" Target="https://www.sec.gov.ng/fintech-and-innovation-hub-finport/registered-fintech-operators/" TargetMode="External" Id="rId66"/><Relationship Type="http://schemas.openxmlformats.org/officeDocument/2006/relationships/hyperlink" Target="https://www.cb-umoa.org/sites/default/files/Liste%20C&#244;te%20d'Ivoire%202025.pdf" TargetMode="External" Id="rId67"/><Relationship Type="http://schemas.openxmlformats.org/officeDocument/2006/relationships/hyperlink" Target="https://www.centif.ci/" TargetMode="External" Id="rId68"/><Relationship Type="http://schemas.openxmlformats.org/officeDocument/2006/relationships/hyperlink" Target="https://www.centif.ci/liste-des-sanctions/" TargetMode="External" Id="rId69"/><Relationship Type="http://schemas.openxmlformats.org/officeDocument/2006/relationships/hyperlink" Target="https://annuaireci.com/en/entreprises/apbef-ci-association-professionnelle-des-banques-et-etablissement-financier-de-cote-divoire/" TargetMode="External" Id="rId70"/><Relationship Type="http://schemas.openxmlformats.org/officeDocument/2006/relationships/hyperlink" Target="https://assurances.tresor.gouv.ci/assur/wp-content/uploads/2022/01/Rapport-dactivit&#233;s-du-march&#233;-ivoirien-des-assurances_Exercice-2019-DEF-Copie-1.pdf" TargetMode="External" Id="rId71"/><Relationship Type="http://schemas.openxmlformats.org/officeDocument/2006/relationships/hyperlink" Target="https://microfinance.tresor.gouv.ci/micro/wp-content/uploads/2020/07/monographie_2018.pdf" TargetMode="External" Id="rId72"/><Relationship Type="http://schemas.openxmlformats.org/officeDocument/2006/relationships/hyperlink" Target="https://www.bceao.int/sites/default/files/inline-files/3%20-%20Liste%20C&#244;te%20d_Ivoire_2026.pdf" TargetMode="External" Id="rId73"/><Relationship Type="http://schemas.openxmlformats.org/officeDocument/2006/relationships/hyperlink" Target="https://web.ordredesavocats.ci/" TargetMode="External" Id="rId74"/><Relationship Type="http://schemas.openxmlformats.org/officeDocument/2006/relationships/hyperlink" Target="https://www.cb-umoa.org/sites/default/files/Liste%20S&#233;n&#233;gal%202025.pdf" TargetMode="External" Id="rId75"/><Relationship Type="http://schemas.openxmlformats.org/officeDocument/2006/relationships/hyperlink" Target="https://www.centif.sn/fr/" TargetMode="External" Id="rId76"/><Relationship Type="http://schemas.openxmlformats.org/officeDocument/2006/relationships/hyperlink" Target="https://www.centif.sn/asset/attachements/rapports/Rapport_activite_2025.pdf.pdf" TargetMode="External" Id="rId77"/><Relationship Type="http://schemas.openxmlformats.org/officeDocument/2006/relationships/hyperlink" Target="https://cb-umoa.org/sites/default/files/Liste%20des%20EME%20SN_2025.pdf" TargetMode="External" Id="rId78"/><Relationship Type="http://schemas.openxmlformats.org/officeDocument/2006/relationships/hyperlink" Target="https://www.onecca.sn/" TargetMode="External" Id="rId79"/><Relationship Type="http://schemas.openxmlformats.org/officeDocument/2006/relationships/hyperlink" Target="http://www.sgcobac.org/jcms/ess_6899/en/societe-generale-cameroun" TargetMode="External" Id="rId80"/><Relationship Type="http://schemas.openxmlformats.org/officeDocument/2006/relationships/hyperlink" Target="https://www.osidimbea.cm/associations/patrons/apeccam-fil/" TargetMode="External" Id="rId81"/><Relationship Type="http://schemas.openxmlformats.org/officeDocument/2006/relationships/hyperlink" Target="https://minfi.gov.cm/liste-des-etablissements-de-microfinance-agrees-au-31-decembre-2021/" TargetMode="External" Id="rId82"/><Relationship Type="http://schemas.openxmlformats.org/officeDocument/2006/relationships/hyperlink" Target="https://barreaucameroun.org/fr/" TargetMode="External" Id="rId83"/><Relationship Type="http://schemas.openxmlformats.org/officeDocument/2006/relationships/hyperlink" Target="https://www.onecca.cm/" TargetMode="External" Id="rId84"/><Relationship Type="http://schemas.openxmlformats.org/officeDocument/2006/relationships/hyperlink" Target="https://www.bog.gov.gh/supervision-regulation/registered-institutions/banks/" TargetMode="External" Id="rId85"/><Relationship Type="http://schemas.openxmlformats.org/officeDocument/2006/relationships/hyperlink" Target="https://www.bog.gov.gh/supervision-regulation/all-institutions/" TargetMode="External" Id="rId86"/><Relationship Type="http://schemas.openxmlformats.org/officeDocument/2006/relationships/hyperlink" Target="https://licensees.sec.gov.gh/" TargetMode="External" Id="rId87"/><Relationship Type="http://schemas.openxmlformats.org/officeDocument/2006/relationships/hyperlink" Target="https://www.fic.gov.gh/" TargetMode="External" Id="rId88"/><Relationship Type="http://schemas.openxmlformats.org/officeDocument/2006/relationships/hyperlink" Target="https://gab.com.gh/about" TargetMode="External" Id="rId89"/><Relationship Type="http://schemas.openxmlformats.org/officeDocument/2006/relationships/hyperlink" Target="https://nicgh.org/insurers-reinsurers/reinsurers/" TargetMode="External" Id="rId90"/><Relationship Type="http://schemas.openxmlformats.org/officeDocument/2006/relationships/hyperlink" Target="https://www.bog.gov.gh/supervision-regulation/registered-institutions/savings-loans/" TargetMode="External" Id="rId91"/><Relationship Type="http://schemas.openxmlformats.org/officeDocument/2006/relationships/hyperlink" Target="https://www.bog.gov.gh/supervision-regulation/ofisd/" TargetMode="External" Id="rId92"/><Relationship Type="http://schemas.openxmlformats.org/officeDocument/2006/relationships/hyperlink" Target="https://www.bog.gov.gh/wp-content/uploads/2021/04/BOG-Approved-List-of-Electronic-Money-Issuers-and-Payment-Service-Providers.pdf" TargetMode="External" Id="rId93"/><Relationship Type="http://schemas.openxmlformats.org/officeDocument/2006/relationships/hyperlink" Target="https://www.bog.gov.gh/wp-content/uploads/2026/03/FinTech-Sector-Report-2025-FY-1.pdf" TargetMode="External" Id="rId94"/><Relationship Type="http://schemas.openxmlformats.org/officeDocument/2006/relationships/hyperlink" Target="https://www.icagh.org/wp-content/uploads/2026/07/2026-List-of-Licensed-Firms-in-Good-Standing-22.07.2026-Updated.pdf" TargetMode="External" Id="rId95"/><Relationship Type="http://schemas.openxmlformats.org/officeDocument/2006/relationships/hyperlink" Target="https://www.glc.gov.gh/lawyers-in-good-standing" TargetMode="External" Id="rId96"/><Relationship Type="http://schemas.openxmlformats.org/officeDocument/2006/relationships/hyperlink" Target="https://sec.gov.gh/public-notice-full-list-of-virtual-asset-sandbox-participants/" TargetMode="External" Id="rId97"/><Relationship Type="http://schemas.openxmlformats.org/officeDocument/2006/relationships/hyperlink" Target="https://www.bnr.rw/documents/LIST_OF_SUPERVISED_BANKS.pdf" TargetMode="External" Id="rId98"/><Relationship Type="http://schemas.openxmlformats.org/officeDocument/2006/relationships/hyperlink" Target="https://www.cma.rw/licensing/licensees" TargetMode="External" Id="rId99"/><Relationship Type="http://schemas.openxmlformats.org/officeDocument/2006/relationships/hyperlink" Target="https://www.fic.gov.rw/compliance" TargetMode="External" Id="rId100"/><Relationship Type="http://schemas.openxmlformats.org/officeDocument/2006/relationships/hyperlink" Target="https://www.bnr.rw/Forexbureaus" TargetMode="External" Id="rId101"/><Relationship Type="http://schemas.openxmlformats.org/officeDocument/2006/relationships/hyperlink" Target="https://rba.rw/our-team-2/" TargetMode="External" Id="rId102"/><Relationship Type="http://schemas.openxmlformats.org/officeDocument/2006/relationships/hyperlink" Target="https://www.bnr.rw/documents/LIST_OF_LICENSED_INSURERS-UPDATED-Jan_2025_aQrLsOj.pdf" TargetMode="External" Id="rId103"/><Relationship Type="http://schemas.openxmlformats.org/officeDocument/2006/relationships/hyperlink" Target="https://www.bnr.rw/documents/LIST_OF_LICENSED_INSURANCE_AND_REINSURANCE_BROKERS-April_2026_DG6v9R9.pdf" TargetMode="External" Id="rId104"/><Relationship Type="http://schemas.openxmlformats.org/officeDocument/2006/relationships/hyperlink" Target="https://www.bnr.rw/documents/LIST_OF_DEPOSIT_TAKING_MICROFINANCE_INSTITUTIONS_SUPERVISED_BY_BNR.pdf" TargetMode="External" Id="rId105"/><Relationship Type="http://schemas.openxmlformats.org/officeDocument/2006/relationships/hyperlink" Target="https://www.bnr.rw/documents/Licensed_NDFSPs_as_of_01st__October_2025_002_for_Update_to_Website_Final.pdf" TargetMode="External" Id="rId106"/><Relationship Type="http://schemas.openxmlformats.org/officeDocument/2006/relationships/hyperlink" Target="https://www.bnr.rw/documents/Licensed_Institutions_-_November_2025_96EyafM.pdf" TargetMode="External" Id="rId107"/><Relationship Type="http://schemas.openxmlformats.org/officeDocument/2006/relationships/hyperlink" Target="https://icparwanda.com/wp-content/uploads/2025/12/List-of-Firms-2026.pdf" TargetMode="External" Id="rId108"/><Relationship Type="http://schemas.openxmlformats.org/officeDocument/2006/relationships/hyperlink" Target="https://www.rwandabar.org.rw/" TargetMode="External" Id="rId109"/><Relationship Type="http://schemas.openxmlformats.org/officeDocument/2006/relationships/hyperlink" Target="http://sgcobac.org/jcms/ess_7052/fr/banque-internationale-pour-le-commerce-et-l-industrie-du-gabon?opLetterSearch=true&amp;directoryLetter=B&amp;memberId=&amp;directory_start=10&amp;directory_pageSize=20" TargetMode="External" Id="rId110"/><Relationship Type="http://schemas.openxmlformats.org/officeDocument/2006/relationships/hyperlink" Target="https://www.fatf-gafi.org/content/dam/fatf-gafi/fsrb-fur/gabon-fur-2026.pdf.coredownload.inline.pdf" TargetMode="External" Id="rId111"/><Relationship Type="http://schemas.openxmlformats.org/officeDocument/2006/relationships/hyperlink" Target="https://www.apecgabon.com/" TargetMode="External" Id="rId112"/><Relationship Type="http://schemas.openxmlformats.org/officeDocument/2006/relationships/hyperlink" Target="https://onecgabon.org/wp-content/uploads/pdf/ONEC_tableau_de_lordre_2022.pdf" TargetMode="External" Id="rId113"/><Relationship Type="http://schemas.openxmlformats.org/officeDocument/2006/relationships/hyperlink" Target="https://www.cb-umoa.org/sites/default/files/Liste%20EC%20Mali_2026.pdf" TargetMode="External" Id="rId114"/><Relationship Type="http://schemas.openxmlformats.org/officeDocument/2006/relationships/hyperlink" Target="https://centif.ml/presentation/" TargetMode="External" Id="rId115"/><Relationship Type="http://schemas.openxmlformats.org/officeDocument/2006/relationships/hyperlink" Target="https://www.bceao.int/sites/default/files/inline-files/5%20-%20Liste%20Mali_2026.pdf" TargetMode="External" Id="rId116"/><Relationship Type="http://schemas.openxmlformats.org/officeDocument/2006/relationships/hyperlink" Target="https://cb-umoa.org/sites/default/files/Liste%20Togo%202025.pdf" TargetMode="External" Id="rId117"/><Relationship Type="http://schemas.openxmlformats.org/officeDocument/2006/relationships/hyperlink" Target="https://www.centif.tg/" TargetMode="External" Id="rId118"/><Relationship Type="http://schemas.openxmlformats.org/officeDocument/2006/relationships/hyperlink" Target="http://www.sgcobac.org/jcms/ess_6863/en/ecobank-congo" TargetMode="External" Id="rId119"/><Relationship Type="http://schemas.openxmlformats.org/officeDocument/2006/relationships/hyperlink" Target="https://gabac.org/wp-content/uploads/2022/10/REM-CONGO-ANGLAIS.pdf" TargetMode="External" Id="rId120"/><Relationship Type="http://schemas.openxmlformats.org/officeDocument/2006/relationships/hyperlink" Target="https://ghanachamberofmines.org/our-members/represented-members-level-a/" TargetMode="External" Id="rId121"/><Relationship Type="http://schemas.openxmlformats.org/officeDocument/2006/relationships/hyperlink" Target="http://mines.org.zm/members-2/" TargetMode="External" Id="rId122"/><Relationship Type="http://schemas.openxmlformats.org/officeDocument/2006/relationships/hyperlink" Target="https://www.mineralscouncil.org.za/about/members" TargetMode="External" Id="rId123"/><Relationship Type="http://schemas.openxmlformats.org/officeDocument/2006/relationships/hyperlink" Target="https://www.bcm.org.bw/our-members/" TargetMode="External" Id="rId124"/><Relationship Type="http://schemas.openxmlformats.org/officeDocument/2006/relationships/hyperlink" Target="https://chamberofmines.org.na/wp-content/uploads/2025/07/Chamber-of-Mines-Annual-Report_web_14-July.pdf" TargetMode="External" Id="rId125"/><Relationship Type="http://schemas.openxmlformats.org/officeDocument/2006/relationships/hyperlink" Target="https://www.mincom.gov.gh/wp-content/uploads/2021/10/Companies-Fully-registered.pdf" TargetMode="External" Id="rId126"/><Relationship Type="http://schemas.openxmlformats.org/officeDocument/2006/relationships/hyperlink" Target="https://www.mincom.gov.gh/list-of-mineral-rights-concessions/" TargetMode="External" Id="rId127"/><Relationship Type="http://schemas.openxmlformats.org/officeDocument/2006/relationships/hyperlink" Target="https://www.miningcadastre.gov.ng/publication" TargetMode="External" Id="rId128"/><Relationship Type="http://schemas.openxmlformats.org/officeDocument/2006/relationships/hyperlink" Target="https://cami.cd/wp-content/uploads/2025/08/REGISTRE_DM_DT_31_07_2025.pdf" TargetMode="External" Id="rId129"/><Relationship Type="http://schemas.openxmlformats.org/officeDocument/2006/relationships/hyperlink" Target="https://www.tumemadini.go.tz/media/uploads/annual_reports/2025/11/24/REPORT_PRINT_2025_A3LATEST_compressed.pdf" TargetMode="External" Id="rId130"/><Relationship Type="http://schemas.openxmlformats.org/officeDocument/2006/relationships/hyperlink" Target="https://kenyachamberofmines.com/members-hub/" TargetMode="External" Id="rId131"/><Relationship Type="http://schemas.openxmlformats.org/officeDocument/2006/relationships/hyperlink" Target="https://www.itie.sn/wp-content/uploads/2026/01/0.-Rapport-final-ITIE-Senegal-2024-Version-Finale-VF221225-1.pdf" TargetMode="External" Id="rId132"/><Relationship Type="http://schemas.openxmlformats.org/officeDocument/2006/relationships/hyperlink" Target="https://www.itie-guinee.org/proprietaires-legaux-des-societes-minieres/" TargetMode="External" Id="rId133"/><Relationship Type="http://schemas.openxmlformats.org/officeDocument/2006/relationships/hyperlink" Target="https://itie.ml/wp-content/uploads/2024/06/Rapport-ITIE-2023-_-Version-Definitive.pdf" TargetMode="External" Id="rId134"/><Relationship Type="http://schemas.openxmlformats.org/officeDocument/2006/relationships/hyperlink" Target="https://eiti.org/documents/burkina-faso-2024-eiti-report" TargetMode="External" Id="rId135"/><Relationship Type="http://schemas.openxmlformats.org/officeDocument/2006/relationships/hyperlink" Target="https://eiti.org/documents/cote-divoire-2022-eiti-report" TargetMode="External" Id="rId136"/><Relationship Type="http://schemas.openxmlformats.org/officeDocument/2006/relationships/hyperlink" Target="https://www.neiti.gov.ng/audits/solid-minerals" TargetMode="External" Id="rId137"/><Relationship Type="http://schemas.openxmlformats.org/officeDocument/2006/relationships/hyperlink" Target="https://www.teiti.go.tz/storage/app/uploads/public/668/064/9a9/6680649a98f4c180152519.pdf" TargetMode="External" Id="rId138"/><Relationship Type="http://schemas.openxmlformats.org/officeDocument/2006/relationships/hyperlink" Target="https://zambiaeiti.org/wp-content/uploads/2025/10/Zambia-EITI-2023-and-2024-report.pdf" TargetMode="External" Id="rId139"/><Relationship Type="http://schemas.openxmlformats.org/officeDocument/2006/relationships/hyperlink" Target="https://itieniger.ne/wp-content/uploads/2026/04/RAPPORT-ITIE-Niger-2023.pdf" TargetMode="External" Id="rId140"/><Relationship Type="http://schemas.openxmlformats.org/officeDocument/2006/relationships/hyperlink" Target="https://eiti.org/documents/cameroon-2023-eiti-report" TargetMode="External" Id="rId141"/><Relationship Type="http://schemas.openxmlformats.org/officeDocument/2006/relationships/hyperlink" Target="https://api.eiti.org/sites/default/files/2022-07/EITI_Annexes%20du%20rapport%20assoupli.pdf" TargetMode="External" Id="rId142"/><Relationship Type="http://schemas.openxmlformats.org/officeDocument/2006/relationships/hyperlink" Target="https://eiti.org/sites/default/files/2022-04/rapport_itie_2019_mauritanie.pdf" TargetMode="External" Id="rId143"/><Relationship Type="http://schemas.openxmlformats.org/officeDocument/2006/relationships/hyperlink" Target="https://eiti.org/eiti-country-reports" TargetMode="External" Id="rId144"/></Relationships>
</file>

<file path=xl/worksheets/sheet1.xml><?xml version="1.0" encoding="utf-8"?>
<worksheet xmlns="http://schemas.openxmlformats.org/spreadsheetml/2006/main">
  <sheetPr filterMode="0">
    <outlinePr summaryBelow="1" summaryRight="1"/>
    <pageSetUpPr fitToPage="0"/>
  </sheetPr>
  <dimension ref="B2:C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0" min="1" max="1"/>
    <col width="34" customWidth="1" style="30" min="2" max="2"/>
    <col width="90" customWidth="1" style="30" min="3" max="3"/>
  </cols>
  <sheetData>
    <row r="2" ht="17.35" customHeight="1" s="31">
      <c r="B2" s="32" t="inlineStr">
        <is>
          <t>RALK – Preise, Pläne &amp; Vertriebsmodell</t>
        </is>
      </c>
    </row>
    <row r="3" ht="15" customHeight="1" s="31">
      <c r="B3" s="33" t="inlineStr">
        <is>
          <t>Stand Oktober 2026. Alle Preise in USD (Zielmarkt Afrika), netto, ohne Einrichtungsgebühr.</t>
        </is>
      </c>
    </row>
    <row r="5" ht="15" customHeight="1" s="31">
      <c r="B5" s="34" t="inlineStr">
        <is>
          <t>So liest du die Datei</t>
        </is>
      </c>
      <c r="C5" s="35" t="n"/>
    </row>
    <row r="6" ht="15" customHeight="1" s="31">
      <c r="B6" s="36" t="inlineStr">
        <is>
          <t>Gelbe Zellen, blaue Schrift</t>
        </is>
      </c>
      <c r="C6" s="35" t="inlineStr">
        <is>
          <t>Eingaben/Annahmen – diese Zahlen darfst du ändern, alles andere rechnet sich neu.</t>
        </is>
      </c>
    </row>
    <row r="7" ht="15" customHeight="1" s="31">
      <c r="B7" s="36" t="inlineStr">
        <is>
          <t>Schwarze Schrift</t>
        </is>
      </c>
      <c r="C7" s="35" t="inlineStr">
        <is>
          <t>Formeln – nicht überschreiben.</t>
        </is>
      </c>
    </row>
    <row r="8" ht="15" customHeight="1" s="31">
      <c r="B8" s="36" t="inlineStr">
        <is>
          <t>Grüne Schrift</t>
        </is>
      </c>
      <c r="C8" s="35" t="inlineStr">
        <is>
          <t>Wert kommt aus einem anderen Blatt (meist „Preise &amp; Pläne“).</t>
        </is>
      </c>
    </row>
    <row r="9" ht="15" customHeight="1" s="31">
      <c r="B9" s="34" t="n"/>
      <c r="C9" s="35" t="n"/>
    </row>
    <row r="10" ht="15" customHeight="1" s="31">
      <c r="B10" s="34" t="inlineStr">
        <is>
          <t>Blätter</t>
        </is>
      </c>
      <c r="C10" s="35" t="n"/>
    </row>
    <row r="11" ht="26.85" customHeight="1" s="31">
      <c r="B11" s="36" t="inlineStr">
        <is>
          <t>Preise &amp; Pläne</t>
        </is>
      </c>
      <c r="C11" s="35" t="inlineStr">
        <is>
          <t>Preisstaffel, Mindestlizenz, Quellensteuer-Hinweis (DE/EN/FR), Preisrechner, Beispiele, Leistungsumfang.</t>
        </is>
      </c>
    </row>
    <row r="12" ht="15" customHeight="1" s="31">
      <c r="B12" s="36" t="inlineStr">
        <is>
          <t>Mit Anwalts-Funnel</t>
        </is>
      </c>
      <c r="C12" s="35" t="inlineStr">
        <is>
          <t>5-Jahres-Rechnung, wenn Kunden über Partner-Anwälte kommen (Provision 10 % / 5 %).</t>
        </is>
      </c>
    </row>
    <row r="13" ht="26.85" customHeight="1" s="31">
      <c r="B13" s="36" t="inlineStr">
        <is>
          <t>Ohne Anwalt (Direkt)</t>
        </is>
      </c>
      <c r="C13" s="35" t="inlineStr">
        <is>
          <t>5-Jahres-Rechnung, wenn du Kunden selbst gewinnst (Register-Ansprache, Anzeigen, Quick-Check) – ohne Provision, aber mit Werbekosten.</t>
        </is>
      </c>
    </row>
    <row r="14" ht="15" customHeight="1" s="31">
      <c r="B14" s="36" t="inlineStr">
        <is>
          <t>Vergleich</t>
        </is>
      </c>
      <c r="C14" s="35" t="inlineStr">
        <is>
          <t>Beide Wege nebeneinander und kombiniert.</t>
        </is>
      </c>
    </row>
    <row r="15" ht="26.85" customHeight="1" s="31">
      <c r="B15" s="36" t="inlineStr">
        <is>
          <t>Zielkunden – Register</t>
        </is>
      </c>
      <c r="C15" s="35" t="inlineStr">
        <is>
          <t>Öffentliche Seiten/Listen von Aufsichtsbehörden, Verbänden und Kammern, auf denen deine Zielkunden stehen – Grundlage für Kontaktlisten.</t>
        </is>
      </c>
    </row>
    <row r="16" ht="15" customHeight="1" s="31">
      <c r="B16" s="34" t="n"/>
      <c r="C16" s="35" t="n"/>
    </row>
    <row r="17" ht="15" customHeight="1" s="31">
      <c r="B17" s="34" t="inlineStr">
        <is>
          <t>Quellen</t>
        </is>
      </c>
      <c r="C17" s="35" t="n"/>
    </row>
    <row r="18" ht="39.55" customHeight="1" s="31">
      <c r="B18" s="36" t="inlineStr">
        <is>
          <t>Preise</t>
        </is>
      </c>
      <c r="C18" s="35" t="inlineStr">
        <is>
          <t>Neue Staffel (Okt. 2026, nach Marktvergleich): bis 1.000 MA 65 $, 1.001–10.000 MA 55 $, über 10.000 MA 45 $. Mindest-Jahreslizenz 5.000 $, keine Setup-Fee. Vorher (RALK_Preismodell): ≤4.000 65 $, 4.001–7.999 50 $, ≥8.000 45 $.</t>
        </is>
      </c>
    </row>
    <row r="19" ht="39.55" customHeight="1" s="31">
      <c r="B19" s="36" t="inlineStr">
        <is>
          <t>Funnel-Zahlen</t>
        </is>
      </c>
      <c r="C19" s="35" t="inlineStr">
        <is>
          <t>Aus derselben Datei (Blätter „Anwalts-Funnel“, „Realistisch“, „Kosten &amp; Marge“): 313 kontaktierte Kanzleien, 6 Bounces, 10 % Antwortquote, 30 % Konversion, 85 % Verlängerung, Provision 10 %/5 %, Fixkosten 5.640,12 €/Jahr.</t>
        </is>
      </c>
    </row>
    <row r="20" ht="39.55" customHeight="1" s="31">
      <c r="B20" s="36" t="inlineStr">
        <is>
          <t>Korrekturen ggü. alter Datei</t>
        </is>
      </c>
      <c r="C20" s="35" t="inlineStr">
        <is>
          <t>1) Antworten = Zugestellt × Antwortquote (alte Datei zeigte −1.878). 2) Einheitlich USD statt €/$ gemischt; € nur über den Wechselkurs. 3) Kein Ø-Preis von 35 € mehr – jeder Vertrag wird mit der echten Staffel gerechnet.</t>
        </is>
      </c>
    </row>
    <row r="21" ht="39.55" customHeight="1" s="31">
      <c r="B21" s="36" t="inlineStr">
        <is>
          <t>Preisstaffel</t>
        </is>
      </c>
      <c r="C21" s="35" t="inlineStr">
        <is>
          <t>Der Satz gilt für alle Mitarbeitenden des Kunden. Übergangsregel: Wer in eine günstigere Klasse rutscht, zahlt nie weniger als die größte Organisation der Klasse darunter – kein Preissprung nach unten.</t>
        </is>
      </c>
    </row>
    <row r="22" ht="39.55" customHeight="1" s="31">
      <c r="B22" s="36" t="inlineStr">
        <is>
          <t>Preispolitik</t>
        </is>
      </c>
      <c r="C22" s="35" t="inlineStr">
        <is>
          <t>Feste, veröffentlichte Preisliste wie bei Google Workspace, Microsoft 365, Atlassian und KnowBe4: gleicher Preis für alle, Mengenrabatt steckt in den Klassen, keine Einzelrabatte. Siehe Blatt „Marktvergleich“.</t>
        </is>
      </c>
    </row>
    <row r="27" ht="15" customHeight="1" s="31">
      <c r="B27" s="37" t="inlineStr">
        <is>
          <t>Beispiel-Eingabe</t>
        </is>
      </c>
      <c r="C27" s="33" t="inlineStr">
        <is>
          <t>← so sehen Eingabezellen aus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E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0" min="1" max="1"/>
    <col width="30" customWidth="1" style="30" min="2" max="2"/>
    <col width="34" customWidth="1" style="30" min="3" max="3"/>
    <col width="26" customWidth="1" style="30" min="4" max="4"/>
    <col width="52" customWidth="1" style="30" min="5" max="5"/>
  </cols>
  <sheetData>
    <row r="2" ht="17.35" customHeight="1" s="31">
      <c r="B2" s="32" t="inlineStr">
        <is>
          <t>Marktvergleich – wie andere Lizenzanbieter Preise machen</t>
        </is>
      </c>
    </row>
    <row r="3" ht="15" customHeight="1" s="31">
      <c r="B3" s="33" t="inlineStr">
        <is>
          <t>Stand Oktober 2026, Listenpreise laut öffentlichen Quellen (Drittanbieter-Übersichten, nicht von den Herstellern bestätigt).</t>
        </is>
      </c>
    </row>
    <row r="5" ht="26.85" customHeight="1" s="31">
      <c r="B5" s="38" t="inlineStr">
        <is>
          <t>Anbieter</t>
        </is>
      </c>
      <c r="C5" s="38" t="inlineStr">
        <is>
          <t>Preismodell</t>
        </is>
      </c>
      <c r="D5" s="38" t="inlineStr">
        <is>
          <t>Listenpreis pro Nutzer/Jahr</t>
        </is>
      </c>
      <c r="E5" s="38" t="inlineStr">
        <is>
          <t>Was RALK übernimmt</t>
        </is>
      </c>
    </row>
    <row r="6" ht="45.75" customHeight="1" s="31">
      <c r="B6" s="35" t="inlineStr">
        <is>
          <t>Google Workspace</t>
        </is>
      </c>
      <c r="C6" s="35" t="inlineStr">
        <is>
          <t>Pläne nach Funktionsumfang, gleicher Preis pro Nutzer für alle; Jahresvertrag günstiger als monatlich; Enterprise auf Anfrage</t>
        </is>
      </c>
      <c r="D6" s="35" t="inlineStr">
        <is>
          <t>ca. 84–264 $ (7–22 $/Monat)</t>
        </is>
      </c>
      <c r="E6" s="35" t="inlineStr">
        <is>
          <t>Ein öffentlicher Preis für alle, keine Verhandlung</t>
        </is>
      </c>
    </row>
    <row r="7" ht="45.75" customHeight="1" s="31">
      <c r="B7" s="35" t="inlineStr">
        <is>
          <t>Microsoft 365</t>
        </is>
      </c>
      <c r="C7" s="35" t="inlineStr">
        <is>
          <t>Business-Pläne für kleinere Firmen, Enterprise-Pläne (E3/E5) für große; Preis pro Nutzer, Jahresbindung</t>
        </is>
      </c>
      <c r="D7" s="35" t="inlineStr">
        <is>
          <t>ca. 84–720 $ (7–60 $/Monat)</t>
        </is>
      </c>
      <c r="E7" s="35" t="inlineStr">
        <is>
          <t>Feste Preisliste; Preiserhöhungen mit Vorankündigung</t>
        </is>
      </c>
    </row>
    <row r="8" ht="45.75" customHeight="1" s="31">
      <c r="B8" s="35" t="inlineStr">
        <is>
          <t>Atlassian (Jira)</t>
        </is>
      </c>
      <c r="C8" s="35" t="inlineStr">
        <is>
          <t>Jahresabos in festen Nutzerstufen; jede Nutzerzahl innerhalb einer Stufe zahlt gleich viel</t>
        </is>
      </c>
      <c r="D8" s="35" t="inlineStr">
        <is>
          <t>stufenabhängig</t>
        </is>
      </c>
      <c r="E8" s="35" t="inlineStr">
        <is>
          <t>Übergangsregel an den Klassengrenzen statt Preissprung</t>
        </is>
      </c>
    </row>
    <row r="9" ht="45.75" customHeight="1" s="31">
      <c r="B9" s="35" t="inlineStr">
        <is>
          <t>KnowBe4 (Security-Awareness)</t>
        </is>
      </c>
      <c r="C9" s="35" t="inlineStr">
        <is>
          <t>Staffelpreis pro Platz nach Mengenband, günstiger bei längerer Laufzeit; ab 1.001 Plätzen Angebot</t>
        </is>
      </c>
      <c r="D9" s="35" t="inlineStr">
        <is>
          <t>ca. 20–45 $ (Liste, 3-Jahres-Vertrag)</t>
        </is>
      </c>
      <c r="E9" s="35" t="inlineStr">
        <is>
          <t>Mengenrabatt über Größenklassen</t>
        </is>
      </c>
    </row>
    <row r="10" ht="45.75" customHeight="1" s="31">
      <c r="B10" s="35" t="inlineStr">
        <is>
          <t>AML-/Compliance-E-Learning (UK u. a.)</t>
        </is>
      </c>
      <c r="C10" s="35" t="inlineStr">
        <is>
          <t>Pro Kurs oder pro Nutzer, Mengenstaffel; große Anbieter (NAVEX, LRN, Thomson Reuters) nur auf Anfrage</t>
        </is>
      </c>
      <c r="D10" s="35" t="inlineStr">
        <is>
          <t>ca. 8–13 $ pro Kurs bzw. 60–200 $ pro Plattform-Nutzer</t>
        </is>
      </c>
      <c r="E10" s="35" t="inlineStr">
        <is>
          <t>RALK liegt mit 45–65 $ im Mittelfeld – für alle 13 Module</t>
        </is>
      </c>
    </row>
    <row r="11" ht="45.75" customHeight="1" s="31">
      <c r="B11" s="35" t="inlineStr">
        <is>
          <t>Klassische Präsenzschulung (dein Modell)</t>
        </is>
      </c>
      <c r="C11" s="35" t="inlineStr">
        <is>
          <t>Einmalig pro Person</t>
        </is>
      </c>
      <c r="D11" s="35" t="inlineStr">
        <is>
          <t>ca. 462 $ für 5 Tage</t>
        </is>
      </c>
      <c r="E11" s="35" t="inlineStr">
        <is>
          <t>RALK: dauerhaft, nachweisbar, Bruchteil der Kosten</t>
        </is>
      </c>
    </row>
    <row r="13" ht="15" customHeight="1" s="31">
      <c r="B13" s="34" t="inlineStr">
        <is>
          <t>Quellen</t>
        </is>
      </c>
    </row>
    <row r="14" ht="15" customHeight="1" s="31">
      <c r="B14" s="39" t="inlineStr">
        <is>
          <t>https://www.cloudwards.net/google-workspace-plans-and-pricing/</t>
        </is>
      </c>
    </row>
    <row r="15" ht="15" customHeight="1" s="31">
      <c r="B15" s="39" t="inlineStr">
        <is>
          <t>https://sanka.com/docs/migrate/tco/microsoft-365/</t>
        </is>
      </c>
    </row>
    <row r="16" ht="15" customHeight="1" s="31">
      <c r="B16" s="39" t="inlineStr">
        <is>
          <t>https://community.atlassian.com/forums/discussion/3284604/jira-pricing-how-much-does-jira-cost-in-2026</t>
        </is>
      </c>
    </row>
    <row r="17" ht="15" customHeight="1" s="31">
      <c r="B17" s="39" t="inlineStr">
        <is>
          <t>https://www.knowbe4.com/products/security-awareness-training-quote</t>
        </is>
      </c>
    </row>
    <row r="18" ht="15" customHeight="1" s="31">
      <c r="B18" s="39" t="inlineStr">
        <is>
          <t>https://coggno.com/blog/compliance-training-pricing-2026/</t>
        </is>
      </c>
    </row>
    <row r="19" ht="15" customHeight="1" s="31">
      <c r="B19" s="39" t="inlineStr">
        <is>
          <t>https://www.kyclookup.com/knowledgebase/best-aml-training-courses-uk/</t>
        </is>
      </c>
    </row>
  </sheetData>
  <hyperlinks>
    <hyperlink xmlns:r="http://schemas.openxmlformats.org/officeDocument/2006/relationships" ref="B14" display="https://www.cloudwards.net/google-workspace-plans-and-pricing/" r:id="rId1"/>
    <hyperlink xmlns:r="http://schemas.openxmlformats.org/officeDocument/2006/relationships" ref="B15" display="https://sanka.com/docs/migrate/tco/microsoft-365/" r:id="rId2"/>
    <hyperlink xmlns:r="http://schemas.openxmlformats.org/officeDocument/2006/relationships" ref="B16" display="https://community.atlassian.com/forums/discussion/3284604/jira-pricing-how-much-does-jira-cost-in-2026" r:id="rId3"/>
    <hyperlink xmlns:r="http://schemas.openxmlformats.org/officeDocument/2006/relationships" ref="B17" display="https://www.knowbe4.com/products/security-awareness-training-quote" r:id="rId4"/>
    <hyperlink xmlns:r="http://schemas.openxmlformats.org/officeDocument/2006/relationships" ref="B18" display="https://coggno.com/blog/compliance-training-pricing-2026/" r:id="rId5"/>
    <hyperlink xmlns:r="http://schemas.openxmlformats.org/officeDocument/2006/relationships" ref="B19" display="https://www.kyclookup.com/knowledgebase/best-aml-training-courses-uk/" r:id="rId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G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0" min="1" max="1"/>
    <col width="40" customWidth="1" style="30" min="2" max="2"/>
    <col width="18" customWidth="1" style="30" min="3" max="6"/>
    <col width="40" customWidth="1" style="30" min="7" max="7"/>
  </cols>
  <sheetData>
    <row r="2" ht="17.35" customHeight="1" s="31">
      <c r="B2" s="32" t="inlineStr">
        <is>
          <t>Preise &amp; Pläne – Jahreslizenz pro Mitarbeiter</t>
        </is>
      </c>
    </row>
    <row r="3" ht="15" customHeight="1" s="31">
      <c r="B3" s="33" t="inlineStr">
        <is>
          <t>Fester Satz pro Mitarbeiter je Größenklasse (Mengenstaffel wie KnowBe4/Atlassian). Gilt für alle Mitarbeitenden des Kunden. Netto, USD, keine Einrichtungsgebühr, keine Einzelrabatte.</t>
        </is>
      </c>
    </row>
    <row r="5" ht="26.85" customHeight="1" s="31">
      <c r="B5" s="38" t="inlineStr">
        <is>
          <t>Größenklasse</t>
        </is>
      </c>
      <c r="C5" s="38" t="inlineStr">
        <is>
          <t>bis Mitarbeiter</t>
        </is>
      </c>
      <c r="D5" s="38" t="inlineStr">
        <is>
          <t>USD / MA / Jahr</t>
        </is>
      </c>
      <c r="E5" s="38" t="inlineStr">
        <is>
          <t>in €</t>
        </is>
      </c>
      <c r="F5" s="38" t="inlineStr">
        <is>
          <t>Lizenz an der Obergrenze</t>
        </is>
      </c>
    </row>
    <row r="6" ht="15" customHeight="1" s="31">
      <c r="B6" s="36" t="inlineStr">
        <is>
          <t>bis 1.000</t>
        </is>
      </c>
      <c r="C6" s="40" t="n">
        <v>1000</v>
      </c>
      <c r="D6" s="41" t="n">
        <v>65</v>
      </c>
      <c r="E6" s="42">
        <f>D6*$C$12</f>
        <v/>
      </c>
      <c r="F6" s="43">
        <f>C6*D6</f>
        <v/>
      </c>
    </row>
    <row r="7" ht="15" customHeight="1" s="31">
      <c r="B7" s="36" t="inlineStr">
        <is>
          <t>1.001 – 10.000</t>
        </is>
      </c>
      <c r="C7" s="40" t="n">
        <v>10000</v>
      </c>
      <c r="D7" s="41" t="n">
        <v>55</v>
      </c>
      <c r="E7" s="42">
        <f>D7*$C$12</f>
        <v/>
      </c>
      <c r="F7" s="43">
        <f>C7*D7</f>
        <v/>
      </c>
    </row>
    <row r="8" ht="15" customHeight="1" s="31">
      <c r="B8" s="36" t="inlineStr">
        <is>
          <t>über 10.000</t>
        </is>
      </c>
      <c r="C8" s="40" t="n">
        <v>999999999</v>
      </c>
      <c r="D8" s="41" t="n">
        <v>45</v>
      </c>
      <c r="E8" s="42">
        <f>D8*$C$12</f>
        <v/>
      </c>
      <c r="F8" s="43" t="inlineStr">
        <is>
          <t>–</t>
        </is>
      </c>
    </row>
    <row r="11" ht="15" customHeight="1" s="31">
      <c r="B11" s="36" t="inlineStr">
        <is>
          <t>Mindest-Jahreslizenz (USD)</t>
        </is>
      </c>
      <c r="C11" s="41" t="n">
        <v>5000</v>
      </c>
    </row>
    <row r="12" ht="15" customHeight="1" s="31">
      <c r="B12" s="36" t="inlineStr">
        <is>
          <t>Wechselkurs USD → EUR</t>
        </is>
      </c>
      <c r="C12" s="44" t="n">
        <v>0.92</v>
      </c>
    </row>
    <row r="13" ht="15" customHeight="1" s="31">
      <c r="B13" s="36" t="inlineStr">
        <is>
          <t>Einrichtungsgebühr</t>
        </is>
      </c>
      <c r="C13" s="41" t="n">
        <v>0</v>
      </c>
    </row>
    <row r="14" ht="15" customHeight="1" s="31">
      <c r="B14" s="36" t="inlineStr">
        <is>
          <t>Vertragslaufzeit</t>
        </is>
      </c>
      <c r="C14" s="36" t="inlineStr">
        <is>
          <t>12 Monate, verlängert sich automatisch</t>
        </is>
      </c>
    </row>
    <row r="15" ht="15" customHeight="1" s="31">
      <c r="B15" s="36" t="inlineStr">
        <is>
          <t>Zahlung</t>
        </is>
      </c>
      <c r="C15" s="36" t="inlineStr">
        <is>
          <t>jährlich im Voraus, Rechnung + Überweisung, 14 Tage</t>
        </is>
      </c>
    </row>
    <row r="18" ht="15" customHeight="1" s="31">
      <c r="B18" s="34" t="inlineStr">
        <is>
          <t>Hinweis Quellensteuer (steht auf ralk.io, Bestellseite und in den Lizenzbedingungen)</t>
        </is>
      </c>
    </row>
    <row r="19" ht="45.75" customHeight="1" s="31">
      <c r="B19" s="34" t="inlineStr">
        <is>
          <t>DE</t>
        </is>
      </c>
      <c r="C19" s="45" t="inlineStr">
        <is>
          <t>Alle Preise verstehen sich netto in USD. Fällt im Land des Auftraggebers Quellensteuer oder eine vergleichbare Abgabe an, ist der Auftraggeber dafür allein verantwortlich und trägt sie zusätzlich zum Preis, sodass RALK als Auftragnehmer den vollen in Rechnung gestellten Betrag erhält.</t>
        </is>
      </c>
    </row>
    <row r="20" ht="45.75" customHeight="1" s="31">
      <c r="B20" s="34" t="inlineStr">
        <is>
          <t>EN</t>
        </is>
      </c>
      <c r="C20" s="45" t="inlineStr">
        <is>
          <t>All prices are net amounts in USD. Any withholding tax or similar levy in the customer's country is the sole responsibility of the customer and is borne in addition to the price, so that RALK as the contractor receives the full invoiced amount.</t>
        </is>
      </c>
    </row>
    <row r="21" ht="45.75" customHeight="1" s="31">
      <c r="B21" s="34" t="inlineStr">
        <is>
          <t>FR</t>
        </is>
      </c>
      <c r="C21" s="45" t="inlineStr">
        <is>
          <t>Tous les prix s'entendent nets, en USD. Toute retenue à la source ou taxe similaire applicable dans le pays du client est à la charge exclusive du client et s'ajoute au prix, de sorte que RALK, en tant que prestataire, perçoive l'intégralité du montant facturé.</t>
        </is>
      </c>
    </row>
    <row r="23" ht="15" customHeight="1" s="31">
      <c r="B23" s="34" t="inlineStr">
        <is>
          <t>Preisrechner</t>
        </is>
      </c>
    </row>
    <row r="24" ht="15" customHeight="1" s="31">
      <c r="B24" s="36" t="inlineStr">
        <is>
          <t>Anzahl Mitarbeiter des Kunden</t>
        </is>
      </c>
      <c r="C24" s="40" t="n">
        <v>400</v>
      </c>
    </row>
    <row r="25" ht="15" customHeight="1" s="31">
      <c r="B25" s="36" t="inlineStr">
        <is>
          <t>Satz pro Mitarbeiter (USD)</t>
        </is>
      </c>
      <c r="C25" s="43">
        <f>IF(C24&lt;=$C$6,$D$6,IF(C24&lt;=$C$7,$D$7,$D$8))</f>
        <v/>
      </c>
    </row>
    <row r="26" ht="15" customHeight="1" s="31">
      <c r="B26" s="36" t="inlineStr">
        <is>
          <t>Listenpreis (MA × Satz)</t>
        </is>
      </c>
      <c r="C26" s="43">
        <f>C24*C25</f>
        <v/>
      </c>
    </row>
    <row r="27" ht="15" customHeight="1" s="31">
      <c r="B27" s="36" t="inlineStr">
        <is>
          <t>Jahreslizenz (mit Mindestlizenz &amp; Übergangsregel)</t>
        </is>
      </c>
      <c r="C27" s="46">
        <f>MAX(C24*IF(C24&lt;=$C$6,$D$6,IF(C24&lt;=$C$7,$D$7,$D$8)),$C$11,IF(C24&gt;$C$6,$C$6*$D$6,0),IF(C24&gt;$C$7,$C$7*$D$7,0))</f>
        <v/>
      </c>
    </row>
    <row r="28" ht="15" customHeight="1" s="31">
      <c r="B28" s="36" t="inlineStr">
        <is>
          <t>Jahreslizenz in €</t>
        </is>
      </c>
      <c r="C28" s="42">
        <f>C27*$C$12</f>
        <v/>
      </c>
    </row>
    <row r="29" ht="15" customHeight="1" s="31">
      <c r="B29" s="36" t="inlineStr">
        <is>
          <t>Effektiver Preis pro Kopf (USD)</t>
        </is>
      </c>
      <c r="C29" s="47">
        <f>IF(C24&gt;0,C27/C24,0)</f>
        <v/>
      </c>
    </row>
    <row r="31" ht="15" customHeight="1" s="31">
      <c r="B31" s="34" t="inlineStr">
        <is>
          <t>Beispiele (Mitarbeiter frei änderbar)</t>
        </is>
      </c>
    </row>
    <row r="32" ht="15" customHeight="1" s="31">
      <c r="B32" s="38" t="inlineStr">
        <is>
          <t>Mitarbeiter</t>
        </is>
      </c>
      <c r="C32" s="38" t="inlineStr">
        <is>
          <t>Satz USD</t>
        </is>
      </c>
      <c r="D32" s="38" t="inlineStr">
        <is>
          <t>Jahreslizenz USD</t>
        </is>
      </c>
      <c r="E32" s="38" t="inlineStr">
        <is>
          <t>Jahreslizenz €</t>
        </is>
      </c>
      <c r="F32" s="38" t="inlineStr">
        <is>
          <t>USD pro Kopf</t>
        </is>
      </c>
      <c r="G32" s="38" t="inlineStr">
        <is>
          <t>Bemerkung</t>
        </is>
      </c>
    </row>
    <row r="33" ht="15" customHeight="1" s="31">
      <c r="B33" s="40" t="n">
        <v>10</v>
      </c>
      <c r="C33" s="43">
        <f>IF(B33&lt;=$C$6,$D$6,IF(B33&lt;=$C$7,$D$7,$D$8))</f>
        <v/>
      </c>
      <c r="D33" s="43">
        <f>MAX(B33*IF(B33&lt;=$C$6,$D$6,IF(B33&lt;=$C$7,$D$7,$D$8)),$C$11,IF(B33&gt;$C$6,$C$6*$D$6,0),IF(B33&gt;$C$7,$C$7*$D$7,0))</f>
        <v/>
      </c>
      <c r="E33" s="42">
        <f>D33*$C$12</f>
        <v/>
      </c>
      <c r="F33" s="47">
        <f>IF(B33&gt;0,D33/B33,0)</f>
        <v/>
      </c>
      <c r="G33" s="33" t="inlineStr">
        <is>
          <t>Mindestlizenz greift</t>
        </is>
      </c>
    </row>
    <row r="34" ht="15" customHeight="1" s="31">
      <c r="B34" s="40" t="n">
        <v>50</v>
      </c>
      <c r="C34" s="43">
        <f>IF(B34&lt;=$C$6,$D$6,IF(B34&lt;=$C$7,$D$7,$D$8))</f>
        <v/>
      </c>
      <c r="D34" s="43">
        <f>MAX(B34*IF(B34&lt;=$C$6,$D$6,IF(B34&lt;=$C$7,$D$7,$D$8)),$C$11,IF(B34&gt;$C$6,$C$6*$D$6,0),IF(B34&gt;$C$7,$C$7*$D$7,0))</f>
        <v/>
      </c>
      <c r="E34" s="42">
        <f>D34*$C$12</f>
        <v/>
      </c>
      <c r="F34" s="47">
        <f>IF(B34&gt;0,D34/B34,0)</f>
        <v/>
      </c>
      <c r="G34" s="33" t="inlineStr">
        <is>
          <t>Mindestlizenz greift</t>
        </is>
      </c>
    </row>
    <row r="35" ht="15" customHeight="1" s="31">
      <c r="B35" s="40" t="n">
        <v>77</v>
      </c>
      <c r="C35" s="43">
        <f>IF(B35&lt;=$C$6,$D$6,IF(B35&lt;=$C$7,$D$7,$D$8))</f>
        <v/>
      </c>
      <c r="D35" s="43">
        <f>MAX(B35*IF(B35&lt;=$C$6,$D$6,IF(B35&lt;=$C$7,$D$7,$D$8)),$C$11,IF(B35&gt;$C$6,$C$6*$D$6,0),IF(B35&gt;$C$7,$C$7*$D$7,0))</f>
        <v/>
      </c>
      <c r="E35" s="42">
        <f>D35*$C$12</f>
        <v/>
      </c>
      <c r="F35" s="47">
        <f>IF(B35&gt;0,D35/B35,0)</f>
        <v/>
      </c>
      <c r="G35" s="33" t="inlineStr">
        <is>
          <t>ab hier über Mindestlizenz</t>
        </is>
      </c>
    </row>
    <row r="36" ht="15" customHeight="1" s="31">
      <c r="B36" s="40" t="n">
        <v>100</v>
      </c>
      <c r="C36" s="43">
        <f>IF(B36&lt;=$C$6,$D$6,IF(B36&lt;=$C$7,$D$7,$D$8))</f>
        <v/>
      </c>
      <c r="D36" s="43">
        <f>MAX(B36*IF(B36&lt;=$C$6,$D$6,IF(B36&lt;=$C$7,$D$7,$D$8)),$C$11,IF(B36&gt;$C$6,$C$6*$D$6,0),IF(B36&gt;$C$7,$C$7*$D$7,0))</f>
        <v/>
      </c>
      <c r="E36" s="42">
        <f>D36*$C$12</f>
        <v/>
      </c>
      <c r="F36" s="47">
        <f>IF(B36&gt;0,D36/B36,0)</f>
        <v/>
      </c>
      <c r="G36" s="33" t="n"/>
    </row>
    <row r="37" ht="15" customHeight="1" s="31">
      <c r="B37" s="40" t="n">
        <v>400</v>
      </c>
      <c r="C37" s="43">
        <f>IF(B37&lt;=$C$6,$D$6,IF(B37&lt;=$C$7,$D$7,$D$8))</f>
        <v/>
      </c>
      <c r="D37" s="43">
        <f>MAX(B37*IF(B37&lt;=$C$6,$D$6,IF(B37&lt;=$C$7,$D$7,$D$8)),$C$11,IF(B37&gt;$C$6,$C$6*$D$6,0),IF(B37&gt;$C$7,$C$7*$D$7,0))</f>
        <v/>
      </c>
      <c r="E37" s="42">
        <f>D37*$C$12</f>
        <v/>
      </c>
      <c r="F37" s="47">
        <f>IF(B37&gt;0,D37/B37,0)</f>
        <v/>
      </c>
      <c r="G37" s="33" t="inlineStr">
        <is>
          <t>typischer Mittelkunde</t>
        </is>
      </c>
    </row>
    <row r="38" ht="15" customHeight="1" s="31">
      <c r="B38" s="40" t="n">
        <v>1000</v>
      </c>
      <c r="C38" s="43">
        <f>IF(B38&lt;=$C$6,$D$6,IF(B38&lt;=$C$7,$D$7,$D$8))</f>
        <v/>
      </c>
      <c r="D38" s="43">
        <f>MAX(B38*IF(B38&lt;=$C$6,$D$6,IF(B38&lt;=$C$7,$D$7,$D$8)),$C$11,IF(B38&gt;$C$6,$C$6*$D$6,0),IF(B38&gt;$C$7,$C$7*$D$7,0))</f>
        <v/>
      </c>
      <c r="E38" s="42">
        <f>D38*$C$12</f>
        <v/>
      </c>
      <c r="F38" s="47">
        <f>IF(B38&gt;0,D38/B38,0)</f>
        <v/>
      </c>
      <c r="G38" s="33" t="inlineStr">
        <is>
          <t>Klassengrenze</t>
        </is>
      </c>
    </row>
    <row r="39" ht="15" customHeight="1" s="31">
      <c r="B39" s="40" t="n">
        <v>1001</v>
      </c>
      <c r="C39" s="43">
        <f>IF(B39&lt;=$C$6,$D$6,IF(B39&lt;=$C$7,$D$7,$D$8))</f>
        <v/>
      </c>
      <c r="D39" s="43">
        <f>MAX(B39*IF(B39&lt;=$C$6,$D$6,IF(B39&lt;=$C$7,$D$7,$D$8)),$C$11,IF(B39&gt;$C$6,$C$6*$D$6,0),IF(B39&gt;$C$7,$C$7*$D$7,0))</f>
        <v/>
      </c>
      <c r="E39" s="42">
        <f>D39*$C$12</f>
        <v/>
      </c>
      <c r="F39" s="47">
        <f>IF(B39&gt;0,D39/B39,0)</f>
        <v/>
      </c>
      <c r="G39" s="33" t="inlineStr">
        <is>
          <t>Übergangsregel: wie 1.000 MA</t>
        </is>
      </c>
    </row>
    <row r="40" ht="15" customHeight="1" s="31">
      <c r="B40" s="40" t="n">
        <v>1182</v>
      </c>
      <c r="C40" s="43">
        <f>IF(B40&lt;=$C$6,$D$6,IF(B40&lt;=$C$7,$D$7,$D$8))</f>
        <v/>
      </c>
      <c r="D40" s="43">
        <f>MAX(B40*IF(B40&lt;=$C$6,$D$6,IF(B40&lt;=$C$7,$D$7,$D$8)),$C$11,IF(B40&gt;$C$6,$C$6*$D$6,0),IF(B40&gt;$C$7,$C$7*$D$7,0))</f>
        <v/>
      </c>
      <c r="E40" s="42">
        <f>D40*$C$12</f>
        <v/>
      </c>
      <c r="F40" s="47">
        <f>IF(B40&gt;0,D40/B40,0)</f>
        <v/>
      </c>
      <c r="G40" s="33" t="inlineStr">
        <is>
          <t>ab hier normaler 55-$-Satz</t>
        </is>
      </c>
    </row>
    <row r="41" ht="15" customHeight="1" s="31">
      <c r="B41" s="40" t="n">
        <v>3000</v>
      </c>
      <c r="C41" s="43">
        <f>IF(B41&lt;=$C$6,$D$6,IF(B41&lt;=$C$7,$D$7,$D$8))</f>
        <v/>
      </c>
      <c r="D41" s="43">
        <f>MAX(B41*IF(B41&lt;=$C$6,$D$6,IF(B41&lt;=$C$7,$D$7,$D$8)),$C$11,IF(B41&gt;$C$6,$C$6*$D$6,0),IF(B41&gt;$C$7,$C$7*$D$7,0))</f>
        <v/>
      </c>
      <c r="E41" s="42">
        <f>D41*$C$12</f>
        <v/>
      </c>
      <c r="F41" s="47">
        <f>IF(B41&gt;0,D41/B41,0)</f>
        <v/>
      </c>
      <c r="G41" s="33" t="inlineStr">
        <is>
          <t>z. B. große Bank</t>
        </is>
      </c>
    </row>
    <row r="42" ht="15" customHeight="1" s="31">
      <c r="B42" s="40" t="n">
        <v>8000</v>
      </c>
      <c r="C42" s="43">
        <f>IF(B42&lt;=$C$6,$D$6,IF(B42&lt;=$C$7,$D$7,$D$8))</f>
        <v/>
      </c>
      <c r="D42" s="43">
        <f>MAX(B42*IF(B42&lt;=$C$6,$D$6,IF(B42&lt;=$C$7,$D$7,$D$8)),$C$11,IF(B42&gt;$C$6,$C$6*$D$6,0),IF(B42&gt;$C$7,$C$7*$D$7,0))</f>
        <v/>
      </c>
      <c r="E42" s="42">
        <f>D42*$C$12</f>
        <v/>
      </c>
      <c r="F42" s="47">
        <f>IF(B42&gt;0,D42/B42,0)</f>
        <v/>
      </c>
      <c r="G42" s="33" t="inlineStr">
        <is>
          <t>z. B. Kenya Revenue Authority</t>
        </is>
      </c>
    </row>
    <row r="43" ht="15" customHeight="1" s="31">
      <c r="B43" s="40" t="n">
        <v>10000</v>
      </c>
      <c r="C43" s="43">
        <f>IF(B43&lt;=$C$6,$D$6,IF(B43&lt;=$C$7,$D$7,$D$8))</f>
        <v/>
      </c>
      <c r="D43" s="43">
        <f>MAX(B43*IF(B43&lt;=$C$6,$D$6,IF(B43&lt;=$C$7,$D$7,$D$8)),$C$11,IF(B43&gt;$C$6,$C$6*$D$6,0),IF(B43&gt;$C$7,$C$7*$D$7,0))</f>
        <v/>
      </c>
      <c r="E43" s="42">
        <f>D43*$C$12</f>
        <v/>
      </c>
      <c r="F43" s="47">
        <f>IF(B43&gt;0,D43/B43,0)</f>
        <v/>
      </c>
      <c r="G43" s="33" t="inlineStr">
        <is>
          <t>Klassengrenze</t>
        </is>
      </c>
    </row>
    <row r="44" ht="15" customHeight="1" s="31">
      <c r="B44" s="40" t="n">
        <v>10001</v>
      </c>
      <c r="C44" s="43">
        <f>IF(B44&lt;=$C$6,$D$6,IF(B44&lt;=$C$7,$D$7,$D$8))</f>
        <v/>
      </c>
      <c r="D44" s="43">
        <f>MAX(B44*IF(B44&lt;=$C$6,$D$6,IF(B44&lt;=$C$7,$D$7,$D$8)),$C$11,IF(B44&gt;$C$6,$C$6*$D$6,0),IF(B44&gt;$C$7,$C$7*$D$7,0))</f>
        <v/>
      </c>
      <c r="E44" s="42">
        <f>D44*$C$12</f>
        <v/>
      </c>
      <c r="F44" s="47">
        <f>IF(B44&gt;0,D44/B44,0)</f>
        <v/>
      </c>
      <c r="G44" s="33" t="inlineStr">
        <is>
          <t>Übergangsregel: wie 10.000 MA</t>
        </is>
      </c>
    </row>
    <row r="45" ht="15" customHeight="1" s="31">
      <c r="B45" s="40" t="n">
        <v>12223</v>
      </c>
      <c r="C45" s="43">
        <f>IF(B45&lt;=$C$6,$D$6,IF(B45&lt;=$C$7,$D$7,$D$8))</f>
        <v/>
      </c>
      <c r="D45" s="43">
        <f>MAX(B45*IF(B45&lt;=$C$6,$D$6,IF(B45&lt;=$C$7,$D$7,$D$8)),$C$11,IF(B45&gt;$C$6,$C$6*$D$6,0),IF(B45&gt;$C$7,$C$7*$D$7,0))</f>
        <v/>
      </c>
      <c r="E45" s="42">
        <f>D45*$C$12</f>
        <v/>
      </c>
      <c r="F45" s="47">
        <f>IF(B45&gt;0,D45/B45,0)</f>
        <v/>
      </c>
      <c r="G45" s="33" t="inlineStr">
        <is>
          <t>ab hier normaler 45-$-Satz</t>
        </is>
      </c>
    </row>
    <row r="46" ht="15" customHeight="1" s="31">
      <c r="B46" s="40" t="n">
        <v>15000</v>
      </c>
      <c r="C46" s="43">
        <f>IF(B46&lt;=$C$6,$D$6,IF(B46&lt;=$C$7,$D$7,$D$8))</f>
        <v/>
      </c>
      <c r="D46" s="43">
        <f>MAX(B46*IF(B46&lt;=$C$6,$D$6,IF(B46&lt;=$C$7,$D$7,$D$8)),$C$11,IF(B46&gt;$C$6,$C$6*$D$6,0),IF(B46&gt;$C$7,$C$7*$D$7,0))</f>
        <v/>
      </c>
      <c r="E46" s="42">
        <f>D46*$C$12</f>
        <v/>
      </c>
      <c r="F46" s="47">
        <f>IF(B46&gt;0,D46/B46,0)</f>
        <v/>
      </c>
      <c r="G46" s="33" t="inlineStr">
        <is>
          <t>Verband</t>
        </is>
      </c>
    </row>
    <row r="47" ht="15" customHeight="1" s="31">
      <c r="B47" s="40" t="n">
        <v>30000</v>
      </c>
      <c r="C47" s="43">
        <f>IF(B47&lt;=$C$6,$D$6,IF(B47&lt;=$C$7,$D$7,$D$8))</f>
        <v/>
      </c>
      <c r="D47" s="43">
        <f>MAX(B47*IF(B47&lt;=$C$6,$D$6,IF(B47&lt;=$C$7,$D$7,$D$8)),$C$11,IF(B47&gt;$C$6,$C$6*$D$6,0),IF(B47&gt;$C$7,$C$7*$D$7,0))</f>
        <v/>
      </c>
      <c r="E47" s="42">
        <f>D47*$C$12</f>
        <v/>
      </c>
      <c r="F47" s="47">
        <f>IF(B47&gt;0,D47/B47,0)</f>
        <v/>
      </c>
      <c r="G47" s="33" t="inlineStr">
        <is>
          <t>z. B. Law Society of Kenya</t>
        </is>
      </c>
    </row>
    <row r="49" ht="43.5" customHeight="1" s="31">
      <c r="B49" s="35" t="inlineStr">
        <is>
          <t>Übergangsregel (wie bei Atlassian-Stufen): Wer in eine günstigere Klasse rutscht, zahlt nie weniger als die größte Organisation der Klasse darunter (Spalte „Lizenz an der Obergrenze“). Beispiel: 1.001–1.181 MA zahlen 65.000 $ wie 1.000 MA, danach gilt 55 $; 10.001–12.222 MA zahlen 550.000 $ wie 10.000 MA, danach 45 $. So gibt es keinen Preissprung nach unten.</t>
        </is>
      </c>
    </row>
    <row r="50" ht="30" customHeight="1" s="31">
      <c r="B50" s="48" t="inlineStr">
        <is>
          <t>Feste Preisliste: gleicher Preis für alle, Mengenrabatt steckt in den Klassen (wie KnowBe4/Atlassian), keine Einzelrabatte, keine Verhandlung.</t>
        </is>
      </c>
    </row>
    <row r="52" ht="15" customHeight="1" s="31">
      <c r="B52" s="34" t="inlineStr">
        <is>
          <t>Leistungsumfang (in allen Klassen gleich)</t>
        </is>
      </c>
    </row>
    <row r="53" ht="15" customHeight="1" s="31">
      <c r="B53" s="36" t="inlineStr">
        <is>
          <t>• Alle 13 Module (Sanktionen, AML/KYC, UBO, PEP, Monitoring/STR, Krypto, Betrug, Korruption, Datenschutz, Cyber, KI, Governance, Whistleblowing)</t>
        </is>
      </c>
    </row>
    <row r="54" ht="15" customHeight="1" s="31">
      <c r="B54" s="36" t="inlineStr">
        <is>
          <t>• Rollenbasierte KI-Schulung mit Szenarien und Test</t>
        </is>
      </c>
    </row>
    <row r="55" ht="15" customHeight="1" s="31">
      <c r="B55" s="36" t="inlineStr">
        <is>
          <t>• Zertifikate mit Online-Verifizierung</t>
        </is>
      </c>
    </row>
    <row r="56" ht="15" customHeight="1" s="31">
      <c r="B56" s="36" t="inlineStr">
        <is>
          <t>• Dashboard &amp; Berichte für Compliance/Management</t>
        </is>
      </c>
    </row>
    <row r="57" ht="15" customHeight="1" s="31">
      <c r="B57" s="36" t="inlineStr">
        <is>
          <t>• HR-Import der Mitarbeitenden</t>
        </is>
      </c>
    </row>
    <row r="58" ht="15" customHeight="1" s="31">
      <c r="B58" s="36" t="inlineStr">
        <is>
          <t>• E-Mail-Support</t>
        </is>
      </c>
    </row>
    <row r="59" ht="15" customHeight="1" s="31">
      <c r="B59" s="36" t="inlineStr">
        <is>
          <t>• Ab 1.001 MA zusätzlich: fester Ansprechpartner für die Einführung</t>
        </is>
      </c>
    </row>
  </sheetData>
  <mergeCells count="12">
    <mergeCell ref="B54:G54"/>
    <mergeCell ref="C21:G21"/>
    <mergeCell ref="C20:G20"/>
    <mergeCell ref="B59:G59"/>
    <mergeCell ref="B57:G57"/>
    <mergeCell ref="B49:G49"/>
    <mergeCell ref="C19:G19"/>
    <mergeCell ref="B50:G50"/>
    <mergeCell ref="B56:G56"/>
    <mergeCell ref="B58:G58"/>
    <mergeCell ref="B53:G53"/>
    <mergeCell ref="B55:G5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B2:G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0" min="1" max="1"/>
    <col width="46" customWidth="1" style="30" min="2" max="2"/>
    <col width="15" customWidth="1" style="30" min="3" max="7"/>
    <col width="40" customWidth="1" style="30" min="8" max="8"/>
  </cols>
  <sheetData>
    <row r="2" ht="17.35" customHeight="1" s="31">
      <c r="B2" s="32" t="inlineStr">
        <is>
          <t>Mit Anwalts-Funnel – Kunden über Partner-Anwälte</t>
        </is>
      </c>
    </row>
    <row r="3" ht="15" customHeight="1" s="31">
      <c r="B3" s="33" t="inlineStr">
        <is>
          <t>Partner-Anwälte empfehlen RALK an ihre Mandanten und erhalten Provision. Alle Beträge USD.</t>
        </is>
      </c>
    </row>
    <row r="5" ht="15" customHeight="1" s="31">
      <c r="B5" s="34" t="inlineStr">
        <is>
          <t>FUNNEL</t>
        </is>
      </c>
    </row>
    <row r="6" ht="15" customHeight="1" s="31">
      <c r="B6" s="36" t="inlineStr">
        <is>
          <t>Kontaktierte Kanzleien</t>
        </is>
      </c>
      <c r="C6" s="40" t="n">
        <v>313</v>
      </c>
    </row>
    <row r="7" ht="15" customHeight="1" s="31">
      <c r="B7" s="36" t="inlineStr">
        <is>
          <t>Bounces (unzustellbar)</t>
        </is>
      </c>
      <c r="C7" s="40" t="n">
        <v>6</v>
      </c>
    </row>
    <row r="8" ht="15" customHeight="1" s="31">
      <c r="B8" s="36" t="inlineStr">
        <is>
          <t>Zugestellt</t>
        </is>
      </c>
      <c r="C8" s="49">
        <f>C6-C7</f>
        <v/>
      </c>
    </row>
    <row r="9" ht="15" customHeight="1" s="31">
      <c r="B9" s="36" t="inlineStr">
        <is>
          <t>Antwortquote</t>
        </is>
      </c>
      <c r="C9" s="50" t="n">
        <v>0.1</v>
      </c>
    </row>
    <row r="10" ht="15" customHeight="1" s="31">
      <c r="B10" s="36" t="inlineStr">
        <is>
          <t>Antworten</t>
        </is>
      </c>
      <c r="C10" s="51">
        <f>C8*C9</f>
        <v/>
      </c>
    </row>
    <row r="11" ht="15" customHeight="1" s="31">
      <c r="B11" s="36" t="inlineStr">
        <is>
          <t>Konversion Antwort → aktiver Empfehler</t>
        </is>
      </c>
      <c r="C11" s="50" t="n">
        <v>0.3</v>
      </c>
    </row>
    <row r="12" ht="15" customHeight="1" s="31">
      <c r="B12" s="36" t="inlineStr">
        <is>
          <t>Aktive Empfehler (rechnerisch)</t>
        </is>
      </c>
      <c r="C12" s="52">
        <f>C10*C11</f>
        <v/>
      </c>
    </row>
    <row r="13" ht="15" customHeight="1" s="31">
      <c r="B13" s="36" t="inlineStr">
        <is>
          <t>Zusagen bisher (zur Kontrolle)</t>
        </is>
      </c>
      <c r="C13" s="40" t="n">
        <v>18</v>
      </c>
    </row>
    <row r="15" ht="15" customHeight="1" s="31">
      <c r="B15" s="34" t="inlineStr">
        <is>
          <t>ANNAHMEN KUNDEN</t>
        </is>
      </c>
    </row>
    <row r="16" ht="15" customHeight="1" s="31">
      <c r="B16" s="36" t="inlineStr">
        <is>
          <t>Neukunden je aktivem Empfehler pro Jahr</t>
        </is>
      </c>
      <c r="C16" s="53" t="n">
        <v>1</v>
      </c>
    </row>
    <row r="17" ht="15" customHeight="1" s="31">
      <c r="B17" s="36" t="inlineStr">
        <is>
          <t>Ø Mitarbeiter pro Kunde</t>
        </is>
      </c>
      <c r="C17" s="40" t="n">
        <v>400</v>
      </c>
    </row>
    <row r="18" ht="15" customHeight="1" s="31">
      <c r="B18" s="36" t="inlineStr">
        <is>
          <t>Jahreslizenz pro Kunde (USD)</t>
        </is>
      </c>
      <c r="C18" s="54">
        <f>MAX(C17*IF(C17&lt;='Preise &amp; Pläne'!$C$6,'Preise &amp; Pläne'!$D$6,IF(C17&lt;='Preise &amp; Pläne'!$C$7,'Preise &amp; Pläne'!$D$7,'Preise &amp; Pläne'!$D$8)),'Preise &amp; Pläne'!$C$11,IF(C17&gt;'Preise &amp; Pläne'!$C$6,'Preise &amp; Pläne'!$C$6*'Preise &amp; Pläne'!$D$6,0),IF(C17&gt;'Preise &amp; Pläne'!$C$7,'Preise &amp; Pläne'!$C$7*'Preise &amp; Pläne'!$D$7,0))</f>
        <v/>
      </c>
    </row>
    <row r="19" ht="15" customHeight="1" s="31">
      <c r="B19" s="36" t="inlineStr">
        <is>
          <t>Verlängerungsquote</t>
        </is>
      </c>
      <c r="C19" s="50" t="n">
        <v>0.85</v>
      </c>
    </row>
    <row r="20" ht="15" customHeight="1" s="31">
      <c r="B20" s="36" t="inlineStr">
        <is>
          <t>Provision 1. Jahr</t>
        </is>
      </c>
      <c r="C20" s="50" t="n">
        <v>0.1</v>
      </c>
    </row>
    <row r="21" ht="15" customHeight="1" s="31">
      <c r="B21" s="36" t="inlineStr">
        <is>
          <t>Provision Folgejahre</t>
        </is>
      </c>
      <c r="C21" s="50" t="n">
        <v>0.05</v>
      </c>
    </row>
    <row r="22" ht="15" customHeight="1" s="31">
      <c r="B22" s="36" t="inlineStr">
        <is>
          <t>Variable Kosten pro Nutzer/Jahr (USD)</t>
        </is>
      </c>
      <c r="C22" s="55" t="n">
        <v>1.5</v>
      </c>
    </row>
    <row r="23" ht="15" customHeight="1" s="31">
      <c r="B23" s="36" t="inlineStr">
        <is>
          <t>Fixkosten pro Jahr (USD)</t>
        </is>
      </c>
      <c r="C23" s="41" t="n">
        <v>6130</v>
      </c>
    </row>
    <row r="25" ht="15" customHeight="1" s="31">
      <c r="B25" s="38" t="inlineStr">
        <is>
          <t>5-JAHRES-RECHNUNG</t>
        </is>
      </c>
      <c r="C25" s="38" t="inlineStr">
        <is>
          <t>Jahr 1</t>
        </is>
      </c>
      <c r="D25" s="38" t="inlineStr">
        <is>
          <t>Jahr 2</t>
        </is>
      </c>
      <c r="E25" s="38" t="inlineStr">
        <is>
          <t>Jahr 3</t>
        </is>
      </c>
      <c r="F25" s="38" t="inlineStr">
        <is>
          <t>Jahr 4</t>
        </is>
      </c>
      <c r="G25" s="38" t="inlineStr">
        <is>
          <t>Jahr 5</t>
        </is>
      </c>
    </row>
    <row r="26" ht="15" customHeight="1" s="31">
      <c r="B26" s="36" t="inlineStr">
        <is>
          <t>Neukunden</t>
        </is>
      </c>
      <c r="C26" s="51">
        <f>$C$12*$C$16</f>
        <v/>
      </c>
      <c r="D26" s="51">
        <f>$C$12*$C$16</f>
        <v/>
      </c>
      <c r="E26" s="51">
        <f>$C$12*$C$16</f>
        <v/>
      </c>
      <c r="F26" s="51">
        <f>$C$12*$C$16</f>
        <v/>
      </c>
      <c r="G26" s="51">
        <f>$C$12*$C$16</f>
        <v/>
      </c>
    </row>
    <row r="27" ht="15" customHeight="1" s="31">
      <c r="B27" s="36" t="inlineStr">
        <is>
          <t>Aktive Kunden (inkl. Verlängerung)</t>
        </is>
      </c>
      <c r="C27" s="51">
        <f>C26+C28</f>
        <v/>
      </c>
      <c r="D27" s="51">
        <f>D26+D28</f>
        <v/>
      </c>
      <c r="E27" s="51">
        <f>E26+E28</f>
        <v/>
      </c>
      <c r="F27" s="51">
        <f>F26+F28</f>
        <v/>
      </c>
      <c r="G27" s="51">
        <f>G26+G28</f>
        <v/>
      </c>
    </row>
    <row r="28" ht="15" customHeight="1" s="31">
      <c r="B28" s="36" t="inlineStr">
        <is>
          <t>davon Bestandskunden (verlängert)</t>
        </is>
      </c>
      <c r="C28" s="51">
        <f>0</f>
        <v/>
      </c>
      <c r="D28" s="51">
        <f>C27*$C$19</f>
        <v/>
      </c>
      <c r="E28" s="51">
        <f>D27*$C$19</f>
        <v/>
      </c>
      <c r="F28" s="51">
        <f>E27*$C$19</f>
        <v/>
      </c>
      <c r="G28" s="51">
        <f>F27*$C$19</f>
        <v/>
      </c>
    </row>
    <row r="29" ht="15" customHeight="1" s="31">
      <c r="B29" s="36" t="inlineStr">
        <is>
          <t>Nutzer gesamt</t>
        </is>
      </c>
      <c r="C29" s="49">
        <f>C27*$C$17</f>
        <v/>
      </c>
      <c r="D29" s="49">
        <f>D27*$C$17</f>
        <v/>
      </c>
      <c r="E29" s="49">
        <f>E27*$C$17</f>
        <v/>
      </c>
      <c r="F29" s="49">
        <f>F27*$C$17</f>
        <v/>
      </c>
      <c r="G29" s="49">
        <f>G27*$C$17</f>
        <v/>
      </c>
    </row>
    <row r="30" ht="15" customHeight="1" s="31">
      <c r="B30" s="36" t="inlineStr">
        <is>
          <t>Umsatz Neukunden</t>
        </is>
      </c>
      <c r="C30" s="43">
        <f>C26*$C$18</f>
        <v/>
      </c>
      <c r="D30" s="43">
        <f>D26*$C$18</f>
        <v/>
      </c>
      <c r="E30" s="43">
        <f>E26*$C$18</f>
        <v/>
      </c>
      <c r="F30" s="43">
        <f>F26*$C$18</f>
        <v/>
      </c>
      <c r="G30" s="43">
        <f>G26*$C$18</f>
        <v/>
      </c>
    </row>
    <row r="31" ht="15" customHeight="1" s="31">
      <c r="B31" s="36" t="inlineStr">
        <is>
          <t>Umsatz Bestandskunden</t>
        </is>
      </c>
      <c r="C31" s="43">
        <f>C28*$C$18</f>
        <v/>
      </c>
      <c r="D31" s="43">
        <f>D28*$C$18</f>
        <v/>
      </c>
      <c r="E31" s="43">
        <f>E28*$C$18</f>
        <v/>
      </c>
      <c r="F31" s="43">
        <f>F28*$C$18</f>
        <v/>
      </c>
      <c r="G31" s="43">
        <f>G28*$C$18</f>
        <v/>
      </c>
    </row>
    <row r="32" ht="15" customHeight="1" s="31">
      <c r="B32" s="34" t="inlineStr">
        <is>
          <t>UMSATZ GESAMT</t>
        </is>
      </c>
      <c r="C32" s="46">
        <f>C30+C31</f>
        <v/>
      </c>
      <c r="D32" s="46">
        <f>D30+D31</f>
        <v/>
      </c>
      <c r="E32" s="46">
        <f>E30+E31</f>
        <v/>
      </c>
      <c r="F32" s="46">
        <f>F30+F31</f>
        <v/>
      </c>
      <c r="G32" s="46">
        <f>G30+G31</f>
        <v/>
      </c>
    </row>
    <row r="33" ht="15" customHeight="1" s="31">
      <c r="B33" s="36" t="inlineStr">
        <is>
          <t>− Provision Anwälte</t>
        </is>
      </c>
      <c r="C33" s="43">
        <f>-(C30*$C$20+C31*$C$21)</f>
        <v/>
      </c>
      <c r="D33" s="43">
        <f>-(D30*$C$20+D31*$C$21)</f>
        <v/>
      </c>
      <c r="E33" s="43">
        <f>-(E30*$C$20+E31*$C$21)</f>
        <v/>
      </c>
      <c r="F33" s="43">
        <f>-(F30*$C$20+F31*$C$21)</f>
        <v/>
      </c>
      <c r="G33" s="43">
        <f>-(G30*$C$20+G31*$C$21)</f>
        <v/>
      </c>
    </row>
    <row r="34" ht="15" customHeight="1" s="31">
      <c r="B34" s="36" t="inlineStr">
        <is>
          <t>− Variable Kosten</t>
        </is>
      </c>
      <c r="C34" s="43">
        <f>-C29*$C$22</f>
        <v/>
      </c>
      <c r="D34" s="43">
        <f>-D29*$C$22</f>
        <v/>
      </c>
      <c r="E34" s="43">
        <f>-E29*$C$22</f>
        <v/>
      </c>
      <c r="F34" s="43">
        <f>-F29*$C$22</f>
        <v/>
      </c>
      <c r="G34" s="43">
        <f>-G29*$C$22</f>
        <v/>
      </c>
    </row>
    <row r="35" ht="15" customHeight="1" s="31">
      <c r="B35" s="36" t="inlineStr">
        <is>
          <t>− Fixkosten</t>
        </is>
      </c>
      <c r="C35" s="43">
        <f>-$C$23</f>
        <v/>
      </c>
      <c r="D35" s="43">
        <f>-$C$23</f>
        <v/>
      </c>
      <c r="E35" s="43">
        <f>-$C$23</f>
        <v/>
      </c>
      <c r="F35" s="43">
        <f>-$C$23</f>
        <v/>
      </c>
      <c r="G35" s="43">
        <f>-$C$23</f>
        <v/>
      </c>
    </row>
    <row r="36" ht="15" customHeight="1" s="31">
      <c r="B36" s="34" t="inlineStr">
        <is>
          <t>GEWINN vor Steuer</t>
        </is>
      </c>
      <c r="C36" s="46">
        <f>SUM(C32:C35)</f>
        <v/>
      </c>
      <c r="D36" s="46">
        <f>SUM(D32:D35)</f>
        <v/>
      </c>
      <c r="E36" s="46">
        <f>SUM(E32:E35)</f>
        <v/>
      </c>
      <c r="F36" s="46">
        <f>SUM(F32:F35)</f>
        <v/>
      </c>
      <c r="G36" s="46">
        <f>SUM(G32:G35)</f>
        <v/>
      </c>
    </row>
    <row r="37" ht="15" customHeight="1" s="31">
      <c r="B37" s="36" t="inlineStr">
        <is>
          <t>Marge</t>
        </is>
      </c>
      <c r="C37" s="56">
        <f>IF(C32&lt;&gt;0,C36/C32,0)</f>
        <v/>
      </c>
      <c r="D37" s="56">
        <f>IF(D32&lt;&gt;0,D36/D32,0)</f>
        <v/>
      </c>
      <c r="E37" s="56">
        <f>IF(E32&lt;&gt;0,E36/E32,0)</f>
        <v/>
      </c>
      <c r="F37" s="56">
        <f>IF(F32&lt;&gt;0,F36/F32,0)</f>
        <v/>
      </c>
      <c r="G37" s="56">
        <f>IF(G32&lt;&gt;0,G36/G32,0)</f>
        <v/>
      </c>
    </row>
    <row r="39" ht="15" customHeight="1" s="31">
      <c r="B39" s="36" t="inlineStr">
        <is>
          <t>Summe 5 Jahre – Umsatz</t>
        </is>
      </c>
      <c r="C39" s="46">
        <f>SUM(C32:G32)</f>
        <v/>
      </c>
    </row>
    <row r="40" ht="15" customHeight="1" s="31">
      <c r="B40" s="36" t="inlineStr">
        <is>
          <t>Summe 5 Jahre – Provision</t>
        </is>
      </c>
      <c r="C40" s="43">
        <f>SUM(C33:G33)</f>
        <v/>
      </c>
    </row>
    <row r="41" ht="15" customHeight="1" s="31">
      <c r="B41" s="36" t="inlineStr">
        <is>
          <t>Summe 5 Jahre – Gewinn vor Steuer</t>
        </is>
      </c>
      <c r="C41" s="46">
        <f>SUM(C36:G36)</f>
        <v/>
      </c>
    </row>
    <row r="43" ht="15" customHeight="1" s="31">
      <c r="B43" s="33" t="inlineStr">
        <is>
          <t>Verlängerung als Erwartungswert (Anteil bleibt). Steuer nicht abgezogen (siehe Rechtsform-Blatt in deiner alten Datei). Großkunden/Verbände separat im Blatt „Vergleich“ ergänzbar.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B2:G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0" min="1" max="1"/>
    <col width="46" customWidth="1" style="30" min="2" max="2"/>
    <col width="15" customWidth="1" style="30" min="3" max="7"/>
    <col width="40" customWidth="1" style="30" min="8" max="8"/>
  </cols>
  <sheetData>
    <row r="2" ht="17.35" customHeight="1" s="31">
      <c r="B2" s="32" t="inlineStr">
        <is>
          <t>Ohne Anwalt – Kunden direkt gewinnen</t>
        </is>
      </c>
    </row>
    <row r="3" ht="15" customHeight="1" s="31">
      <c r="B3" s="33" t="inlineStr">
        <is>
          <t>Du gewinnst Kunden selbst über Register-Ansprache, Anzeigen und den Quick-Check. Keine Provision, dafür Werbekosten. Alle Beträge USD.</t>
        </is>
      </c>
    </row>
    <row r="5" ht="15" customHeight="1" s="31">
      <c r="B5" s="34" t="inlineStr">
        <is>
          <t>KANÄLE (pro Jahr, Jahr 1)</t>
        </is>
      </c>
    </row>
    <row r="6" ht="15" customHeight="1" s="31">
      <c r="B6" s="36" t="inlineStr">
        <is>
          <t>Register-Ansprache: kontaktierte Institute</t>
        </is>
      </c>
      <c r="C6" s="40" t="n">
        <v>600</v>
      </c>
    </row>
    <row r="7" ht="15" customHeight="1" s="31">
      <c r="B7" s="36" t="inlineStr">
        <is>
          <t xml:space="preserve">  Antwortquote</t>
        </is>
      </c>
      <c r="C7" s="50" t="n">
        <v>0.05</v>
      </c>
    </row>
    <row r="8" ht="15" customHeight="1" s="31">
      <c r="B8" s="36" t="inlineStr">
        <is>
          <t xml:space="preserve">  Abschlussquote der Antworten</t>
        </is>
      </c>
      <c r="C8" s="50" t="n">
        <v>0.15</v>
      </c>
    </row>
    <row r="9" ht="15" customHeight="1" s="31">
      <c r="B9" s="36" t="inlineStr">
        <is>
          <t xml:space="preserve">  → Neukunden aus Registern</t>
        </is>
      </c>
      <c r="C9" s="51">
        <f>C6*C7*C8</f>
        <v/>
      </c>
    </row>
    <row r="10" ht="15" customHeight="1" s="31">
      <c r="B10" s="36" t="inlineStr">
        <is>
          <t>Anzeigen (Google/Meta): Budget pro Jahr</t>
        </is>
      </c>
      <c r="C10" s="41" t="n">
        <v>6000</v>
      </c>
    </row>
    <row r="11" ht="15" customHeight="1" s="31">
      <c r="B11" s="36" t="inlineStr">
        <is>
          <t xml:space="preserve">  Kosten pro Lead</t>
        </is>
      </c>
      <c r="C11" s="41" t="n">
        <v>40</v>
      </c>
    </row>
    <row r="12" ht="15" customHeight="1" s="31">
      <c r="B12" s="36" t="inlineStr">
        <is>
          <t xml:space="preserve">  Abschlussquote Leads</t>
        </is>
      </c>
      <c r="C12" s="50" t="n">
        <v>0.05</v>
      </c>
    </row>
    <row r="13" ht="15" customHeight="1" s="31">
      <c r="B13" s="36" t="inlineStr">
        <is>
          <t xml:space="preserve">  → Neukunden aus Anzeigen</t>
        </is>
      </c>
      <c r="C13" s="51">
        <f>IF(C11&gt;0,C10/C11*C12,0)</f>
        <v/>
      </c>
    </row>
    <row r="14" ht="15" customHeight="1" s="31">
      <c r="B14" s="36" t="inlineStr">
        <is>
          <t>Quick-Check / organische Anfragen pro Jahr</t>
        </is>
      </c>
      <c r="C14" s="40" t="n">
        <v>60</v>
      </c>
    </row>
    <row r="15" ht="15" customHeight="1" s="31">
      <c r="B15" s="36" t="inlineStr">
        <is>
          <t xml:space="preserve">  Abschlussquote</t>
        </is>
      </c>
      <c r="C15" s="50" t="n">
        <v>0.1</v>
      </c>
    </row>
    <row r="16" ht="15" customHeight="1" s="31">
      <c r="B16" s="36" t="inlineStr">
        <is>
          <t xml:space="preserve">  → Neukunden organisch</t>
        </is>
      </c>
      <c r="C16" s="51">
        <f>C14*C15</f>
        <v/>
      </c>
    </row>
    <row r="17" ht="15" customHeight="1" s="31">
      <c r="B17" s="36" t="inlineStr">
        <is>
          <t>Neukunden Jahr 1 gesamt</t>
        </is>
      </c>
      <c r="C17" s="52">
        <f>C9+C13+C16</f>
        <v/>
      </c>
    </row>
    <row r="18" ht="15" customHeight="1" s="31">
      <c r="B18" s="36" t="inlineStr">
        <is>
          <t>Wachstum der Neukunden pro Jahr</t>
        </is>
      </c>
      <c r="C18" s="50" t="n">
        <v>0.2</v>
      </c>
    </row>
    <row r="20" ht="15" customHeight="1" s="31">
      <c r="B20" s="34" t="inlineStr">
        <is>
          <t>ANNAHMEN KUNDEN</t>
        </is>
      </c>
    </row>
    <row r="21" ht="15" customHeight="1" s="31">
      <c r="B21" s="36" t="inlineStr">
        <is>
          <t>Ø Mitarbeiter pro Kunde</t>
        </is>
      </c>
      <c r="C21" s="40" t="n">
        <v>150</v>
      </c>
    </row>
    <row r="22" ht="15" customHeight="1" s="31">
      <c r="B22" s="36" t="inlineStr">
        <is>
          <t>Jahreslizenz pro Kunde (USD)</t>
        </is>
      </c>
      <c r="C22" s="54">
        <f>MAX(C21*IF(C21&lt;='Preise &amp; Pläne'!$C$6,'Preise &amp; Pläne'!$D$6,IF(C21&lt;='Preise &amp; Pläne'!$C$7,'Preise &amp; Pläne'!$D$7,'Preise &amp; Pläne'!$D$8)),'Preise &amp; Pläne'!$C$11,IF(C21&gt;'Preise &amp; Pläne'!$C$6,'Preise &amp; Pläne'!$C$6*'Preise &amp; Pläne'!$D$6,0),IF(C21&gt;'Preise &amp; Pläne'!$C$7,'Preise &amp; Pläne'!$C$7*'Preise &amp; Pläne'!$D$7,0))</f>
        <v/>
      </c>
    </row>
    <row r="23" ht="15" customHeight="1" s="31">
      <c r="B23" s="36" t="inlineStr">
        <is>
          <t>Verlängerungsquote</t>
        </is>
      </c>
      <c r="C23" s="50" t="n">
        <v>0.85</v>
      </c>
    </row>
    <row r="24" ht="15" customHeight="1" s="31">
      <c r="B24" s="36" t="inlineStr">
        <is>
          <t>Variable Kosten pro Nutzer/Jahr (USD)</t>
        </is>
      </c>
      <c r="C24" s="55" t="n">
        <v>3</v>
      </c>
    </row>
    <row r="25" ht="15" customHeight="1" s="31">
      <c r="B25" s="36" t="inlineStr">
        <is>
          <t>Fixkosten pro Jahr (USD)</t>
        </is>
      </c>
      <c r="C25" s="41" t="n">
        <v>6130</v>
      </c>
    </row>
    <row r="27" ht="15" customHeight="1" s="31">
      <c r="B27" s="38" t="inlineStr">
        <is>
          <t>5-JAHRES-RECHNUNG</t>
        </is>
      </c>
      <c r="C27" s="38" t="inlineStr">
        <is>
          <t>Jahr 1</t>
        </is>
      </c>
      <c r="D27" s="38" t="inlineStr">
        <is>
          <t>Jahr 2</t>
        </is>
      </c>
      <c r="E27" s="38" t="inlineStr">
        <is>
          <t>Jahr 3</t>
        </is>
      </c>
      <c r="F27" s="38" t="inlineStr">
        <is>
          <t>Jahr 4</t>
        </is>
      </c>
      <c r="G27" s="38" t="inlineStr">
        <is>
          <t>Jahr 5</t>
        </is>
      </c>
    </row>
    <row r="28" ht="15" customHeight="1" s="31">
      <c r="B28" s="36" t="inlineStr">
        <is>
          <t>Neukunden</t>
        </is>
      </c>
      <c r="C28" s="51">
        <f>$C$17*(1+$C$18)^0</f>
        <v/>
      </c>
      <c r="D28" s="51">
        <f>$C$17*(1+$C$18)^1</f>
        <v/>
      </c>
      <c r="E28" s="51">
        <f>$C$17*(1+$C$18)^2</f>
        <v/>
      </c>
      <c r="F28" s="51">
        <f>$C$17*(1+$C$18)^3</f>
        <v/>
      </c>
      <c r="G28" s="51">
        <f>$C$17*(1+$C$18)^4</f>
        <v/>
      </c>
    </row>
    <row r="29" ht="15" customHeight="1" s="31">
      <c r="B29" s="36" t="inlineStr">
        <is>
          <t>Aktive Kunden (inkl. Verlängerung)</t>
        </is>
      </c>
      <c r="C29" s="51">
        <f>C28+C30</f>
        <v/>
      </c>
      <c r="D29" s="51">
        <f>D28+D30</f>
        <v/>
      </c>
      <c r="E29" s="51">
        <f>E28+E30</f>
        <v/>
      </c>
      <c r="F29" s="51">
        <f>F28+F30</f>
        <v/>
      </c>
      <c r="G29" s="51">
        <f>G28+G30</f>
        <v/>
      </c>
    </row>
    <row r="30" ht="15" customHeight="1" s="31">
      <c r="B30" s="36" t="inlineStr">
        <is>
          <t>davon Bestandskunden (verlängert)</t>
        </is>
      </c>
      <c r="C30" s="51">
        <f>0</f>
        <v/>
      </c>
      <c r="D30" s="51">
        <f>C29*$C$23</f>
        <v/>
      </c>
      <c r="E30" s="51">
        <f>D29*$C$23</f>
        <v/>
      </c>
      <c r="F30" s="51">
        <f>E29*$C$23</f>
        <v/>
      </c>
      <c r="G30" s="51">
        <f>F29*$C$23</f>
        <v/>
      </c>
    </row>
    <row r="31" ht="15" customHeight="1" s="31">
      <c r="B31" s="36" t="inlineStr">
        <is>
          <t>Nutzer gesamt</t>
        </is>
      </c>
      <c r="C31" s="49">
        <f>C29*$C$21</f>
        <v/>
      </c>
      <c r="D31" s="49">
        <f>D29*$C$21</f>
        <v/>
      </c>
      <c r="E31" s="49">
        <f>E29*$C$21</f>
        <v/>
      </c>
      <c r="F31" s="49">
        <f>F29*$C$21</f>
        <v/>
      </c>
      <c r="G31" s="49">
        <f>G29*$C$21</f>
        <v/>
      </c>
    </row>
    <row r="32" ht="15" customHeight="1" s="31">
      <c r="B32" s="34" t="inlineStr">
        <is>
          <t>UMSATZ GESAMT</t>
        </is>
      </c>
      <c r="C32" s="46">
        <f>C29*$C$22</f>
        <v/>
      </c>
      <c r="D32" s="46">
        <f>D29*$C$22</f>
        <v/>
      </c>
      <c r="E32" s="46">
        <f>E29*$C$22</f>
        <v/>
      </c>
      <c r="F32" s="46">
        <f>F29*$C$22</f>
        <v/>
      </c>
      <c r="G32" s="46">
        <f>G29*$C$22</f>
        <v/>
      </c>
    </row>
    <row r="33" ht="15" customHeight="1" s="31">
      <c r="B33" s="36" t="inlineStr">
        <is>
          <t>− Werbekosten</t>
        </is>
      </c>
      <c r="C33" s="43">
        <f>-$C$10</f>
        <v/>
      </c>
      <c r="D33" s="43">
        <f>-$C$10</f>
        <v/>
      </c>
      <c r="E33" s="43">
        <f>-$C$10</f>
        <v/>
      </c>
      <c r="F33" s="43">
        <f>-$C$10</f>
        <v/>
      </c>
      <c r="G33" s="43">
        <f>-$C$10</f>
        <v/>
      </c>
    </row>
    <row r="34" ht="15" customHeight="1" s="31">
      <c r="B34" s="36" t="inlineStr">
        <is>
          <t>− Variable Kosten</t>
        </is>
      </c>
      <c r="C34" s="43">
        <f>-C31*$C$24</f>
        <v/>
      </c>
      <c r="D34" s="43">
        <f>-D31*$C$24</f>
        <v/>
      </c>
      <c r="E34" s="43">
        <f>-E31*$C$24</f>
        <v/>
      </c>
      <c r="F34" s="43">
        <f>-F31*$C$24</f>
        <v/>
      </c>
      <c r="G34" s="43">
        <f>-G31*$C$24</f>
        <v/>
      </c>
    </row>
    <row r="35" ht="15" customHeight="1" s="31">
      <c r="B35" s="36" t="inlineStr">
        <is>
          <t>− Fixkosten</t>
        </is>
      </c>
      <c r="C35" s="43">
        <f>-$C$25</f>
        <v/>
      </c>
      <c r="D35" s="43">
        <f>-$C$25</f>
        <v/>
      </c>
      <c r="E35" s="43">
        <f>-$C$25</f>
        <v/>
      </c>
      <c r="F35" s="43">
        <f>-$C$25</f>
        <v/>
      </c>
      <c r="G35" s="43">
        <f>-$C$25</f>
        <v/>
      </c>
    </row>
    <row r="36" ht="15" customHeight="1" s="31">
      <c r="B36" s="34" t="inlineStr">
        <is>
          <t>GEWINN vor Steuer</t>
        </is>
      </c>
      <c r="C36" s="46">
        <f>SUM(C32:C35)</f>
        <v/>
      </c>
      <c r="D36" s="46">
        <f>SUM(D32:D35)</f>
        <v/>
      </c>
      <c r="E36" s="46">
        <f>SUM(E32:E35)</f>
        <v/>
      </c>
      <c r="F36" s="46">
        <f>SUM(F32:F35)</f>
        <v/>
      </c>
      <c r="G36" s="46">
        <f>SUM(G32:G35)</f>
        <v/>
      </c>
    </row>
    <row r="37" ht="15" customHeight="1" s="31">
      <c r="B37" s="36" t="inlineStr">
        <is>
          <t>Marge</t>
        </is>
      </c>
      <c r="C37" s="56">
        <f>IF(C32&lt;&gt;0,C36/C32,0)</f>
        <v/>
      </c>
      <c r="D37" s="56">
        <f>IF(D32&lt;&gt;0,D36/D32,0)</f>
        <v/>
      </c>
      <c r="E37" s="56">
        <f>IF(E32&lt;&gt;0,E36/E32,0)</f>
        <v/>
      </c>
      <c r="F37" s="56">
        <f>IF(F32&lt;&gt;0,F36/F32,0)</f>
        <v/>
      </c>
      <c r="G37" s="56">
        <f>IF(G32&lt;&gt;0,G36/G32,0)</f>
        <v/>
      </c>
    </row>
    <row r="39" ht="15" customHeight="1" s="31">
      <c r="B39" s="36" t="inlineStr">
        <is>
          <t>Summe 5 Jahre – Umsatz</t>
        </is>
      </c>
      <c r="C39" s="46">
        <f>SUM(C32:G32)</f>
        <v/>
      </c>
    </row>
    <row r="40" ht="15" customHeight="1" s="31">
      <c r="B40" s="36" t="inlineStr">
        <is>
          <t>Summe 5 Jahre – Werbekosten</t>
        </is>
      </c>
      <c r="C40" s="43">
        <f>SUM(C33:G33)</f>
        <v/>
      </c>
    </row>
    <row r="41" ht="15" customHeight="1" s="31">
      <c r="B41" s="36" t="inlineStr">
        <is>
          <t>Summe 5 Jahre – Gewinn vor Steuer</t>
        </is>
      </c>
      <c r="C41" s="46">
        <f>SUM(C36:G36)</f>
        <v/>
      </c>
    </row>
    <row r="43" ht="15" customHeight="1" s="31">
      <c r="B43" s="33" t="inlineStr">
        <is>
          <t>Alle Quoten sind Annahmen ohne echte Daten – nach den ersten 3 Monaten mit echten Zahlen ersetzen.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B2:H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0" min="1" max="1"/>
    <col width="46" customWidth="1" style="30" min="2" max="2"/>
    <col width="15" customWidth="1" style="30" min="3" max="7"/>
    <col width="18" customWidth="1" style="30" min="8" max="8"/>
  </cols>
  <sheetData>
    <row r="2" ht="17.35" customHeight="1" s="31">
      <c r="B2" s="32" t="inlineStr">
        <is>
          <t>Vergleich – mit Anwalt, ohne Anwalt, kombiniert</t>
        </is>
      </c>
    </row>
    <row r="3" ht="15" customHeight="1" s="31">
      <c r="B3" s="33" t="inlineStr">
        <is>
          <t>Kombiniert = beide Wege gleichzeitig; Fixkosten fallen dann nur einmal an. Alle Beträge USD, vor Steuer.</t>
        </is>
      </c>
    </row>
    <row r="5" ht="15" customHeight="1" s="31">
      <c r="B5" s="38" t="inlineStr">
        <is>
          <t>KENNZAHL</t>
        </is>
      </c>
      <c r="C5" s="38" t="inlineStr">
        <is>
          <t>Jahr 1</t>
        </is>
      </c>
      <c r="D5" s="38" t="inlineStr">
        <is>
          <t>Jahr 2</t>
        </is>
      </c>
      <c r="E5" s="38" t="inlineStr">
        <is>
          <t>Jahr 3</t>
        </is>
      </c>
      <c r="F5" s="38" t="inlineStr">
        <is>
          <t>Jahr 4</t>
        </is>
      </c>
      <c r="G5" s="38" t="inlineStr">
        <is>
          <t>Jahr 5</t>
        </is>
      </c>
      <c r="H5" s="38" t="inlineStr">
        <is>
          <t>Summe 5 J.</t>
        </is>
      </c>
    </row>
    <row r="6" ht="15" customHeight="1" s="31">
      <c r="B6" s="36" t="inlineStr">
        <is>
          <t>Umsatz – mit Anwälten</t>
        </is>
      </c>
      <c r="C6" s="54">
        <f>'Mit Anwalts-Funnel'!C32</f>
        <v/>
      </c>
      <c r="D6" s="54">
        <f>'Mit Anwalts-Funnel'!D32</f>
        <v/>
      </c>
      <c r="E6" s="54">
        <f>'Mit Anwalts-Funnel'!E32</f>
        <v/>
      </c>
      <c r="F6" s="54">
        <f>'Mit Anwalts-Funnel'!F32</f>
        <v/>
      </c>
      <c r="G6" s="54">
        <f>'Mit Anwalts-Funnel'!G32</f>
        <v/>
      </c>
      <c r="H6" s="46">
        <f>SUM(C6:G6)</f>
        <v/>
      </c>
    </row>
    <row r="7" ht="15" customHeight="1" s="31">
      <c r="B7" s="36" t="inlineStr">
        <is>
          <t>Umsatz – direkt</t>
        </is>
      </c>
      <c r="C7" s="54">
        <f>'Ohne Anwalt (Direkt)'!C32</f>
        <v/>
      </c>
      <c r="D7" s="54">
        <f>'Ohne Anwalt (Direkt)'!D32</f>
        <v/>
      </c>
      <c r="E7" s="54">
        <f>'Ohne Anwalt (Direkt)'!E32</f>
        <v/>
      </c>
      <c r="F7" s="54">
        <f>'Ohne Anwalt (Direkt)'!F32</f>
        <v/>
      </c>
      <c r="G7" s="54">
        <f>'Ohne Anwalt (Direkt)'!G32</f>
        <v/>
      </c>
      <c r="H7" s="46">
        <f>SUM(C7:G7)</f>
        <v/>
      </c>
    </row>
    <row r="8" ht="15" customHeight="1" s="31">
      <c r="B8" s="34" t="inlineStr">
        <is>
          <t>Umsatz – kombiniert</t>
        </is>
      </c>
      <c r="C8" s="43">
        <f>C6+C7</f>
        <v/>
      </c>
      <c r="D8" s="43">
        <f>D6+D7</f>
        <v/>
      </c>
      <c r="E8" s="43">
        <f>E6+E7</f>
        <v/>
      </c>
      <c r="F8" s="43">
        <f>F6+F7</f>
        <v/>
      </c>
      <c r="G8" s="43">
        <f>G6+G7</f>
        <v/>
      </c>
      <c r="H8" s="46">
        <f>SUM(C8:G8)</f>
        <v/>
      </c>
    </row>
    <row r="9" ht="15" customHeight="1" s="31">
      <c r="B9" s="36" t="inlineStr">
        <is>
          <t>Gewinn – mit Anwälten</t>
        </is>
      </c>
      <c r="C9" s="54">
        <f>'Mit Anwalts-Funnel'!C36</f>
        <v/>
      </c>
      <c r="D9" s="54">
        <f>'Mit Anwalts-Funnel'!D36</f>
        <v/>
      </c>
      <c r="E9" s="54">
        <f>'Mit Anwalts-Funnel'!E36</f>
        <v/>
      </c>
      <c r="F9" s="54">
        <f>'Mit Anwalts-Funnel'!F36</f>
        <v/>
      </c>
      <c r="G9" s="54">
        <f>'Mit Anwalts-Funnel'!G36</f>
        <v/>
      </c>
      <c r="H9" s="46">
        <f>SUM(C9:G9)</f>
        <v/>
      </c>
    </row>
    <row r="10" ht="15" customHeight="1" s="31">
      <c r="B10" s="36" t="inlineStr">
        <is>
          <t>Gewinn – direkt</t>
        </is>
      </c>
      <c r="C10" s="54">
        <f>'Ohne Anwalt (Direkt)'!C36</f>
        <v/>
      </c>
      <c r="D10" s="54">
        <f>'Ohne Anwalt (Direkt)'!D36</f>
        <v/>
      </c>
      <c r="E10" s="54">
        <f>'Ohne Anwalt (Direkt)'!E36</f>
        <v/>
      </c>
      <c r="F10" s="54">
        <f>'Ohne Anwalt (Direkt)'!F36</f>
        <v/>
      </c>
      <c r="G10" s="54">
        <f>'Ohne Anwalt (Direkt)'!G36</f>
        <v/>
      </c>
      <c r="H10" s="46">
        <f>SUM(C10:G10)</f>
        <v/>
      </c>
    </row>
    <row r="11" ht="15" customHeight="1" s="31">
      <c r="B11" s="34" t="inlineStr">
        <is>
          <t>Gewinn – kombiniert (Fixkosten nur einmal)</t>
        </is>
      </c>
      <c r="C11" s="43">
        <f>C9+C10+'Ohne Anwalt (Direkt)'!$C$25</f>
        <v/>
      </c>
      <c r="D11" s="43">
        <f>D9+D10+'Ohne Anwalt (Direkt)'!$C$25</f>
        <v/>
      </c>
      <c r="E11" s="43">
        <f>E9+E10+'Ohne Anwalt (Direkt)'!$C$25</f>
        <v/>
      </c>
      <c r="F11" s="43">
        <f>F9+F10+'Ohne Anwalt (Direkt)'!$C$25</f>
        <v/>
      </c>
      <c r="G11" s="43">
        <f>G9+G10+'Ohne Anwalt (Direkt)'!$C$25</f>
        <v/>
      </c>
      <c r="H11" s="46">
        <f>SUM(C11:G11)</f>
        <v/>
      </c>
    </row>
    <row r="12" ht="15" customHeight="1" s="31">
      <c r="B12" s="36" t="inlineStr">
        <is>
          <t>Aktive Kunden – mit Anwälten</t>
        </is>
      </c>
      <c r="C12" s="57">
        <f>'Mit Anwalts-Funnel'!C27</f>
        <v/>
      </c>
      <c r="D12" s="57">
        <f>'Mit Anwalts-Funnel'!D27</f>
        <v/>
      </c>
      <c r="E12" s="57">
        <f>'Mit Anwalts-Funnel'!E27</f>
        <v/>
      </c>
      <c r="F12" s="57">
        <f>'Mit Anwalts-Funnel'!F27</f>
        <v/>
      </c>
      <c r="G12" s="57">
        <f>'Mit Anwalts-Funnel'!G27</f>
        <v/>
      </c>
      <c r="H12" s="52">
        <f>G12</f>
        <v/>
      </c>
    </row>
    <row r="13" ht="15" customHeight="1" s="31">
      <c r="B13" s="36" t="inlineStr">
        <is>
          <t>Aktive Kunden – direkt</t>
        </is>
      </c>
      <c r="C13" s="57">
        <f>'Ohne Anwalt (Direkt)'!C29</f>
        <v/>
      </c>
      <c r="D13" s="57">
        <f>'Ohne Anwalt (Direkt)'!D29</f>
        <v/>
      </c>
      <c r="E13" s="57">
        <f>'Ohne Anwalt (Direkt)'!E29</f>
        <v/>
      </c>
      <c r="F13" s="57">
        <f>'Ohne Anwalt (Direkt)'!F29</f>
        <v/>
      </c>
      <c r="G13" s="57">
        <f>'Ohne Anwalt (Direkt)'!G29</f>
        <v/>
      </c>
      <c r="H13" s="52">
        <f>G13</f>
        <v/>
      </c>
    </row>
    <row r="14" ht="15" customHeight="1" s="31">
      <c r="B14" s="36" t="inlineStr">
        <is>
          <t>Kosten der Kundengewinnung – Provision</t>
        </is>
      </c>
      <c r="C14" s="43">
        <f>-'Mit Anwalts-Funnel'!C33</f>
        <v/>
      </c>
      <c r="D14" s="43">
        <f>-'Mit Anwalts-Funnel'!D33</f>
        <v/>
      </c>
      <c r="E14" s="43">
        <f>-'Mit Anwalts-Funnel'!E33</f>
        <v/>
      </c>
      <c r="F14" s="43">
        <f>-'Mit Anwalts-Funnel'!F33</f>
        <v/>
      </c>
      <c r="G14" s="43">
        <f>-'Mit Anwalts-Funnel'!G33</f>
        <v/>
      </c>
      <c r="H14" s="46">
        <f>SUM(C14:G14)</f>
        <v/>
      </c>
    </row>
    <row r="15" ht="15" customHeight="1" s="31">
      <c r="B15" s="36" t="inlineStr">
        <is>
          <t>Kosten der Kundengewinnung – Werbung</t>
        </is>
      </c>
      <c r="C15" s="43">
        <f>-'Ohne Anwalt (Direkt)'!C33</f>
        <v/>
      </c>
      <c r="D15" s="43">
        <f>-'Ohne Anwalt (Direkt)'!D33</f>
        <v/>
      </c>
      <c r="E15" s="43">
        <f>-'Ohne Anwalt (Direkt)'!E33</f>
        <v/>
      </c>
      <c r="F15" s="43">
        <f>-'Ohne Anwalt (Direkt)'!F33</f>
        <v/>
      </c>
      <c r="G15" s="43">
        <f>-'Ohne Anwalt (Direkt)'!G33</f>
        <v/>
      </c>
      <c r="H15" s="46">
        <f>SUM(C15:G15)</f>
        <v/>
      </c>
    </row>
    <row r="17" ht="48" customHeight="1" s="31">
      <c r="B17" s="35" t="inlineStr">
        <is>
          <t>Lies es so: Anwälte bringen größere Kunden und kosten Provision; der Direktweg kostet Werbebudget und Zeit. Beides zusammen ist am stärksten. Der größte Hebel bleiben Verbände/Behörden (z. B. Law Society of Kenya, 30.000 × 45 $) – die stehen als Einzelfälle in deiner alten Datei.</t>
        </is>
      </c>
    </row>
  </sheetData>
  <mergeCells count="1">
    <mergeCell ref="B17:H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L154"/>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30" min="1" max="1"/>
    <col width="16" customWidth="1" style="30" min="2" max="2"/>
    <col width="12" customWidth="1" style="30" min="3" max="3"/>
    <col width="20" customWidth="1" style="30" min="4" max="4"/>
    <col width="34" customWidth="1" style="30" min="5" max="5"/>
    <col width="40" customWidth="1" style="30" min="6" max="6"/>
    <col width="50" customWidth="1" style="30" min="7" max="7"/>
    <col width="10" customWidth="1" style="30" min="8" max="8"/>
    <col width="46" customWidth="1" style="30" min="9" max="9"/>
    <col width="9" customWidth="1" style="30" min="10" max="10"/>
    <col width="10" customWidth="1" style="30" min="11" max="11"/>
    <col width="40" customWidth="1" style="30" min="12" max="12"/>
  </cols>
  <sheetData>
    <row r="2" ht="17.35" customHeight="1" s="31">
      <c r="B2" s="32" t="inlineStr">
        <is>
          <t>Zielkunden – öffentliche Register &amp; Verzeichnisse</t>
        </is>
      </c>
    </row>
    <row r="3" ht="15" customHeight="1" s="31">
      <c r="B3" s="33" t="inlineStr">
        <is>
          <t>Offizielle Seiten, auf denen lizenzierte Institute, Mitglieder oder Behörden gelistet sind. Grundlage für Kontaktlisten (Register-Ansprache). „URL per Suche bestätigt = ja“ heißt: Link kam per Websuche von der offiziellen Domain, die Seite wurde aber nicht geöffnet. Vor dem Erstellen von Kontaktlisten jede Seite kurz öffnen – manche Listen sind veraltet.</t>
        </is>
      </c>
    </row>
    <row r="5" ht="64.90000000000001" customHeight="1" s="31">
      <c r="B5" s="38" t="inlineStr">
        <is>
          <t>Land</t>
        </is>
      </c>
      <c r="C5" s="38" t="inlineStr">
        <is>
          <t>Region / Aufsicht</t>
        </is>
      </c>
      <c r="D5" s="38" t="inlineStr">
        <is>
          <t>Kategorie</t>
        </is>
      </c>
      <c r="E5" s="38" t="inlineStr">
        <is>
          <t>Herausgeber</t>
        </is>
      </c>
      <c r="F5" s="38" t="inlineStr">
        <is>
          <t>Seite / Dokument</t>
        </is>
      </c>
      <c r="G5" s="38" t="inlineStr">
        <is>
          <t>Link</t>
        </is>
      </c>
      <c r="H5" s="38" t="inlineStr">
        <is>
          <t>Format</t>
        </is>
      </c>
      <c r="I5" s="38" t="inlineStr">
        <is>
          <t>Was steht drauf</t>
        </is>
      </c>
      <c r="J5" s="38" t="inlineStr">
        <is>
          <t>Sprache</t>
        </is>
      </c>
      <c r="K5" s="38" t="inlineStr">
        <is>
          <t>URL per Suche bestätigt</t>
        </is>
      </c>
      <c r="L5" s="38" t="inlineStr">
        <is>
          <t>Hinweise</t>
        </is>
      </c>
    </row>
    <row r="6" ht="39.55" customHeight="1" s="31">
      <c r="B6" s="35" t="inlineStr">
        <is>
          <t>Regional</t>
        </is>
      </c>
      <c r="C6" s="35" t="inlineStr">
        <is>
          <t>BCEAO</t>
        </is>
      </c>
      <c r="D6" s="35" t="inlineStr">
        <is>
          <t>Banks</t>
        </is>
      </c>
      <c r="E6" s="35" t="inlineStr">
        <is>
          <t>BCEAO</t>
        </is>
      </c>
      <c r="F6" s="35" t="inlineStr">
        <is>
          <t>Liste des établissements de crédit agréés dans l'UMOA au 31 décembre 2025</t>
        </is>
      </c>
      <c r="G6" s="58" t="inlineStr">
        <is>
          <t>https://www.bceao.int/sites/default/files/2026-04/LISTE%20DES%20%C3%89TABLISSEMENTS%20DE%20CR%C3%89DIT%20AGR%C3%89%C3%89S%20DANS%20L'UMOA%20au%2031%20d%C3%A9cembre%202025.pdf</t>
        </is>
      </c>
      <c r="H6" s="35" t="inlineStr">
        <is>
          <t>PDF</t>
        </is>
      </c>
      <c r="I6" s="35" t="inlineStr">
        <is>
          <t>161 credit institutions (136 banks + 25 financial institutions) by country with licence codes; CI 33, Senegal 33, Mali 17, Togo 17</t>
        </is>
      </c>
      <c r="J6" s="35" t="inlineStr">
        <is>
          <t>FR</t>
        </is>
      </c>
      <c r="K6" s="35" t="inlineStr">
        <is>
          <t>ja</t>
        </is>
      </c>
      <c r="L6" s="35" t="inlineStr">
        <is>
          <t>Confirmed in search index on official domain (direct fetch blocked in sandbox). Published April 2026. No contact details.</t>
        </is>
      </c>
    </row>
    <row r="7" ht="52.2" customHeight="1" s="31">
      <c r="B7" s="35" t="inlineStr">
        <is>
          <t>Regional</t>
        </is>
      </c>
      <c r="C7" s="35" t="inlineStr">
        <is>
          <t>BCEAO</t>
        </is>
      </c>
      <c r="D7" s="35" t="inlineStr">
        <is>
          <t>Banks</t>
        </is>
      </c>
      <c r="E7" s="35" t="inlineStr">
        <is>
          <t>BCEAO</t>
        </is>
      </c>
      <c r="F7" s="35" t="inlineStr">
        <is>
          <t>Annuaire des banques, établissements financiers à caractère bancaire et compagnies financières de l'UMOA 2024 (mars 2026)</t>
        </is>
      </c>
      <c r="G7" s="58" t="inlineStr">
        <is>
          <t>https://www.bceao.int/sites/default/files/2026-04/Annuaire-des-Banques-etablissements-financiers-a-caractere-bancaire-et-compagnies-financieres-de-l-UMOA-2024_mars_2026.pdf</t>
        </is>
      </c>
      <c r="H7" s="35" t="inlineStr">
        <is>
          <t>PDF</t>
        </is>
      </c>
      <c r="I7" s="35" t="inlineStr">
        <is>
          <t>Directory of all UMOA banks with addresses, phone, management, shareholders, branch counts</t>
        </is>
      </c>
      <c r="J7" s="35" t="inlineStr">
        <is>
          <t>FR</t>
        </is>
      </c>
      <c r="K7" s="35" t="inlineStr">
        <is>
          <t>ja</t>
        </is>
      </c>
      <c r="L7" s="35" t="inlineStr">
        <is>
          <t>Confirmed in search index on official domain (direct fetch blocked in sandbox). Best source for contact details/CEO names.</t>
        </is>
      </c>
    </row>
    <row r="8" ht="26.85" customHeight="1" s="31">
      <c r="B8" s="35" t="inlineStr">
        <is>
          <t>Regional</t>
        </is>
      </c>
      <c r="C8" s="35" t="inlineStr">
        <is>
          <t>BCEAO</t>
        </is>
      </c>
      <c r="D8" s="35" t="inlineStr">
        <is>
          <t>Banks</t>
        </is>
      </c>
      <c r="E8" s="35" t="inlineStr">
        <is>
          <t>BCEAO</t>
        </is>
      </c>
      <c r="F8" s="35" t="inlineStr">
        <is>
          <t>Paysage bancaire de l'UMOA</t>
        </is>
      </c>
      <c r="G8" s="58" t="inlineStr">
        <is>
          <t>https://www.bceao.int/fr/content/paysage-bancaire</t>
        </is>
      </c>
      <c r="H8" s="35" t="inlineStr">
        <is>
          <t>HTML</t>
        </is>
      </c>
      <c r="I8" s="35" t="inlineStr">
        <is>
          <t>Country-by-country banking landscape</t>
        </is>
      </c>
      <c r="J8" s="35" t="inlineStr">
        <is>
          <t>FR</t>
        </is>
      </c>
      <c r="K8" s="35" t="inlineStr">
        <is>
          <t>ja</t>
        </is>
      </c>
      <c r="L8" s="35" t="inlineStr">
        <is>
          <t>Confirmed in search index on official domain (direct fetch blocked in sandbox).</t>
        </is>
      </c>
    </row>
    <row r="9" ht="26.85" customHeight="1" s="31">
      <c r="B9" s="35" t="inlineStr">
        <is>
          <t>Regional</t>
        </is>
      </c>
      <c r="C9" s="35" t="inlineStr">
        <is>
          <t>BCEAO</t>
        </is>
      </c>
      <c r="D9" s="35" t="inlineStr">
        <is>
          <t>Banks</t>
        </is>
      </c>
      <c r="E9" s="35" t="inlineStr">
        <is>
          <t>Commission Bancaire de l'UMOA</t>
        </is>
      </c>
      <c r="F9" s="35" t="inlineStr">
        <is>
          <t>Établissements assujettis au contrôle de la Commission Bancaire de l'UMOA</t>
        </is>
      </c>
      <c r="G9" s="58" t="inlineStr">
        <is>
          <t>https://cb-umoa.org/en/institutions-regulated-wamu-banking-commission</t>
        </is>
      </c>
      <c r="H9" s="35" t="inlineStr">
        <is>
          <t>HTML</t>
        </is>
      </c>
      <c r="I9" s="35" t="inlineStr">
        <is>
          <t>Hub with per-country PDF lists (banks, FIs, EMEs, EPs) for all 8 UMOA states</t>
        </is>
      </c>
      <c r="J9" s="35" t="inlineStr">
        <is>
          <t>FR</t>
        </is>
      </c>
      <c r="K9" s="35" t="inlineStr">
        <is>
          <t>ja</t>
        </is>
      </c>
      <c r="L9" s="35" t="inlineStr">
        <is>
          <t>Confirmed in search index on official domain (direct fetch blocked in sandbox).</t>
        </is>
      </c>
    </row>
    <row r="10" ht="52.2" customHeight="1" s="31">
      <c r="B10" s="35" t="inlineStr">
        <is>
          <t>Regional</t>
        </is>
      </c>
      <c r="C10" s="35" t="inlineStr">
        <is>
          <t>COBAC/BEAC</t>
        </is>
      </c>
      <c r="D10" s="35" t="inlineStr">
        <is>
          <t>Banks</t>
        </is>
      </c>
      <c r="E10" s="35" t="inlineStr">
        <is>
          <t>COBAC (Commission Bancaire de l'Afrique Centrale)</t>
        </is>
      </c>
      <c r="F10" s="35" t="inlineStr">
        <is>
          <t>COBAC - Assujettis (annuaire des établissements)</t>
        </is>
      </c>
      <c r="G10" s="58" t="inlineStr">
        <is>
          <t>http://www.sgcobac.org/jcms/ess_7505/en/organes-faitiers?opLetterSearch=true&amp;directoryLetter=B&amp;memberId=&amp;directory_start=20&amp;directory_pageSize=50</t>
        </is>
      </c>
      <c r="H10" s="35" t="inlineStr">
        <is>
          <t>Search tool</t>
        </is>
      </c>
      <c r="I10" s="35" t="inlineStr">
        <is>
          <t>A-Z directory of supervised credit institutions in CEMAC (Cameroon, Gabon, Congo...) with per-bank pages</t>
        </is>
      </c>
      <c r="J10" s="35" t="inlineStr">
        <is>
          <t>FR</t>
        </is>
      </c>
      <c r="K10" s="35" t="inlineStr">
        <is>
          <t>ja</t>
        </is>
      </c>
      <c r="L10" s="35" t="inlineStr">
        <is>
          <t>Confirmed in search index on official domain (direct fetch blocked in sandbox). Last consolidated list seen is 30 Sept 2020; HTTP only.</t>
        </is>
      </c>
    </row>
    <row r="11" ht="26.85" customHeight="1" s="31">
      <c r="B11" s="35" t="inlineStr">
        <is>
          <t>Regional</t>
        </is>
      </c>
      <c r="C11" s="35" t="inlineStr">
        <is>
          <t>COBAC/BEAC</t>
        </is>
      </c>
      <c r="D11" s="35" t="inlineStr">
        <is>
          <t>Banks</t>
        </is>
      </c>
      <c r="E11" s="35" t="inlineStr">
        <is>
          <t>BEAC</t>
        </is>
      </c>
      <c r="F11" s="35" t="inlineStr">
        <is>
          <t>Lexique des Banques de la CEMAC</t>
        </is>
      </c>
      <c r="G11" s="58" t="inlineStr">
        <is>
          <t>https://www.beac.int/supervision-bancaire/lexique-banques-de-cemac/</t>
        </is>
      </c>
      <c r="H11" s="35" t="inlineStr">
        <is>
          <t>HTML</t>
        </is>
      </c>
      <c r="I11" s="35" t="inlineStr">
        <is>
          <t>Glossary/list of CEMAC banks by country</t>
        </is>
      </c>
      <c r="J11" s="35" t="inlineStr">
        <is>
          <t>FR</t>
        </is>
      </c>
      <c r="K11" s="35" t="inlineStr">
        <is>
          <t>ja</t>
        </is>
      </c>
      <c r="L11" s="35" t="inlineStr">
        <is>
          <t>Confirmed in search index on official domain (direct fetch blocked in sandbox).</t>
        </is>
      </c>
    </row>
    <row r="12" ht="39.55" customHeight="1" s="31">
      <c r="B12" s="35" t="inlineStr">
        <is>
          <t>Regional</t>
        </is>
      </c>
      <c r="C12" s="35" t="inlineStr">
        <is>
          <t>BCEAO</t>
        </is>
      </c>
      <c r="D12" s="35" t="inlineStr">
        <is>
          <t>Capital markets</t>
        </is>
      </c>
      <c r="E12" s="35" t="inlineStr">
        <is>
          <t>AMF-UMOA (Autorité des Marchés Financiers de l'UMOA)</t>
        </is>
      </c>
      <c r="F12" s="35" t="inlineStr">
        <is>
          <t>Liste des intervenants agréés du Marché Financier Régional de l'UMOA</t>
        </is>
      </c>
      <c r="G12" s="58" t="inlineStr">
        <is>
          <t>https://www.amf-umoa.org/accueil/intervenant</t>
        </is>
      </c>
      <c r="H12" s="35" t="inlineStr">
        <is>
          <t>Search tool</t>
        </is>
      </c>
      <c r="I12" s="35" t="inlineStr">
        <is>
          <t>SGIs (~36 brokers), SGOs (asset managers), custodians, business introducers; filterable by type/country with status</t>
        </is>
      </c>
      <c r="J12" s="35" t="inlineStr">
        <is>
          <t>FR</t>
        </is>
      </c>
      <c r="K12" s="35" t="inlineStr">
        <is>
          <t>ja</t>
        </is>
      </c>
      <c r="L12" s="35" t="inlineStr">
        <is>
          <t>Confirmed in search index on official domain (direct fetch blocked in sandbox). 394 professional cards renewed for 2026.</t>
        </is>
      </c>
    </row>
    <row r="13" ht="39.55" customHeight="1" s="31">
      <c r="B13" s="35" t="inlineStr">
        <is>
          <t>Regional</t>
        </is>
      </c>
      <c r="C13" s="35" t="inlineStr">
        <is>
          <t>COBAC/BEAC</t>
        </is>
      </c>
      <c r="D13" s="35" t="inlineStr">
        <is>
          <t>Capital markets</t>
        </is>
      </c>
      <c r="E13" s="35" t="inlineStr">
        <is>
          <t>COSUMAF</t>
        </is>
      </c>
      <c r="F13" s="35" t="inlineStr">
        <is>
          <t>Intermédiaires - COSUMAF</t>
        </is>
      </c>
      <c r="G13" s="58" t="inlineStr">
        <is>
          <t>https://cosumaf.org/liste-intermediaires?category=cif</t>
        </is>
      </c>
      <c r="H13" s="35" t="inlineStr">
        <is>
          <t>Search tool</t>
        </is>
      </c>
      <c r="I13" s="35" t="inlineStr">
        <is>
          <t>Licensed brokers (sociétés de bourse ~26), asset managers (~16), advisers, custodians in CEMAC; approval no. and managers</t>
        </is>
      </c>
      <c r="J13" s="35" t="inlineStr">
        <is>
          <t>FR</t>
        </is>
      </c>
      <c r="K13" s="35" t="inlineStr">
        <is>
          <t>ja</t>
        </is>
      </c>
      <c r="L13" s="35" t="inlineStr">
        <is>
          <t>Confirmed in search index on official domain (direct fetch blocked in sandbox). English: cosumaf.org/intermediaries-list</t>
        </is>
      </c>
    </row>
    <row r="14" ht="26.85" customHeight="1" s="31">
      <c r="B14" s="35" t="inlineStr">
        <is>
          <t>Regional</t>
        </is>
      </c>
      <c r="C14" s="35" t="inlineStr">
        <is>
          <t>COBAC/BEAC</t>
        </is>
      </c>
      <c r="D14" s="35" t="inlineStr">
        <is>
          <t>Capital markets</t>
        </is>
      </c>
      <c r="E14" s="35" t="inlineStr">
        <is>
          <t>COSUMAF</t>
        </is>
      </c>
      <c r="F14" s="35" t="inlineStr">
        <is>
          <t>L'ESSENTIEL 2e semestre 2025</t>
        </is>
      </c>
      <c r="G14" s="58" t="inlineStr">
        <is>
          <t>https://cosumaf.org/files/documents/01KQRSJ4VRDZJ12Q805HTX1QYE.pdf</t>
        </is>
      </c>
      <c r="H14" s="35" t="inlineStr">
        <is>
          <t>PDF</t>
        </is>
      </c>
      <c r="I14" s="35" t="inlineStr">
        <is>
          <t>List of approved market actors as at 31 Dec 2025</t>
        </is>
      </c>
      <c r="J14" s="35" t="inlineStr">
        <is>
          <t>FR</t>
        </is>
      </c>
      <c r="K14" s="35" t="inlineStr">
        <is>
          <t>ja</t>
        </is>
      </c>
      <c r="L14" s="35" t="inlineStr">
        <is>
          <t>Confirmed in search index on official domain (direct fetch blocked in sandbox).</t>
        </is>
      </c>
    </row>
    <row r="15" ht="64.90000000000001" customHeight="1" s="31">
      <c r="B15" s="35" t="inlineStr">
        <is>
          <t>Regional</t>
        </is>
      </c>
      <c r="C15" s="35" t="inlineStr">
        <is>
          <t>FATF</t>
        </is>
      </c>
      <c r="D15" s="35" t="inlineStr">
        <is>
          <t>FATF/regional</t>
        </is>
      </c>
      <c r="E15" s="35" t="inlineStr">
        <is>
          <t>Financial Action Task Force</t>
        </is>
      </c>
      <c r="F15" s="35" t="inlineStr">
        <is>
          <t>Jurisdictions under Increased Monitoring - 19 June 2026</t>
        </is>
      </c>
      <c r="G15" s="58" t="inlineStr">
        <is>
          <t>https://www.fatf-gafi.org/en/publications/High-risk-and-other-monitored-jurisdictions/increased-monitoring-june-2026.html</t>
        </is>
      </c>
      <c r="H15" s="35" t="inlineStr">
        <is>
          <t>HTML</t>
        </is>
      </c>
      <c r="I15" s="35" t="inlineStr">
        <is>
          <t>Grey list (22 jurisdictions) incl. Cameroon, Côte d'Ivoire, DR Congo, Kenya; DRC &amp; CI judged to have substantially completed action plans (on-site visit due)</t>
        </is>
      </c>
      <c r="J15" s="35" t="inlineStr">
        <is>
          <t>EN</t>
        </is>
      </c>
      <c r="K15" s="35" t="inlineStr">
        <is>
          <t>ja</t>
        </is>
      </c>
      <c r="L15" s="35" t="inlineStr">
        <is>
          <t>Confirmed in search index on official domain (direct fetch blocked in sandbox). October 2026 plenary update may supersede; also see black-and-grey-lists hub.</t>
        </is>
      </c>
    </row>
    <row r="16" ht="26.85" customHeight="1" s="31">
      <c r="B16" s="35" t="inlineStr">
        <is>
          <t>Regional</t>
        </is>
      </c>
      <c r="C16" s="35" t="inlineStr">
        <is>
          <t>FATF</t>
        </is>
      </c>
      <c r="D16" s="35" t="inlineStr">
        <is>
          <t>FATF/regional</t>
        </is>
      </c>
      <c r="E16" s="35" t="inlineStr">
        <is>
          <t>Financial Action Task Force</t>
        </is>
      </c>
      <c r="F16" s="35" t="inlineStr">
        <is>
          <t>"Black and grey" lists (hub)</t>
        </is>
      </c>
      <c r="G16" s="58" t="inlineStr">
        <is>
          <t>https://www.fatf-gafi.org/en/countries/black-and-grey-lists.html</t>
        </is>
      </c>
      <c r="H16" s="35" t="inlineStr">
        <is>
          <t>HTML</t>
        </is>
      </c>
      <c r="I16" s="35" t="inlineStr">
        <is>
          <t>Hub page always linking to the current grey and black lists</t>
        </is>
      </c>
      <c r="J16" s="35" t="inlineStr">
        <is>
          <t>EN</t>
        </is>
      </c>
      <c r="K16" s="35" t="inlineStr">
        <is>
          <t>ja</t>
        </is>
      </c>
      <c r="L16" s="35" t="inlineStr">
        <is>
          <t>Confirmed in search index on official domain (direct fetch blocked in sandbox).</t>
        </is>
      </c>
    </row>
    <row r="17" ht="39.55" customHeight="1" s="31">
      <c r="B17" s="35" t="inlineStr">
        <is>
          <t>Regional</t>
        </is>
      </c>
      <c r="C17" s="35" t="inlineStr">
        <is>
          <t>GIABA</t>
        </is>
      </c>
      <c r="D17" s="35" t="inlineStr">
        <is>
          <t>FATF/regional</t>
        </is>
      </c>
      <c r="E17" s="35" t="inlineStr">
        <is>
          <t>GIABA (Inter-Governmental Action Group against Money Laundering in West Africa)</t>
        </is>
      </c>
      <c r="F17" s="35" t="inlineStr">
        <is>
          <t>GIABA - Member States</t>
        </is>
      </c>
      <c r="G17" s="58" t="inlineStr">
        <is>
          <t>https://www.giaba.org/member-states/pages_faq.html</t>
        </is>
      </c>
      <c r="H17" s="35" t="inlineStr">
        <is>
          <t>HTML</t>
        </is>
      </c>
      <c r="I17" s="35" t="inlineStr">
        <is>
          <t>ECOWAS member-state pages with MERs and follow-up reports (Nigeria, Ghana, CI, Senegal, Mali, Togo)</t>
        </is>
      </c>
      <c r="J17" s="35" t="inlineStr">
        <is>
          <t>EN</t>
        </is>
      </c>
      <c r="K17" s="35" t="inlineStr">
        <is>
          <t>ja</t>
        </is>
      </c>
      <c r="L17" s="35" t="inlineStr">
        <is>
          <t>Confirmed in search index on official domain (direct fetch blocked in sandbox).</t>
        </is>
      </c>
    </row>
    <row r="18" ht="26.85" customHeight="1" s="31">
      <c r="B18" s="35" t="inlineStr">
        <is>
          <t>Regional</t>
        </is>
      </c>
      <c r="C18" s="35" t="inlineStr">
        <is>
          <t>GIABA</t>
        </is>
      </c>
      <c r="D18" s="35" t="inlineStr">
        <is>
          <t>FATF/regional</t>
        </is>
      </c>
      <c r="E18" s="35" t="inlineStr">
        <is>
          <t>GIABA</t>
        </is>
      </c>
      <c r="F18" s="35" t="inlineStr">
        <is>
          <t>GIABA - Publications (mutual evaluations)</t>
        </is>
      </c>
      <c r="G18" s="58" t="inlineStr">
        <is>
          <t>https://www.giaba.org/publications/index.html?cat=4</t>
        </is>
      </c>
      <c r="H18" s="35" t="inlineStr">
        <is>
          <t>HTML</t>
        </is>
      </c>
      <c r="I18" s="35" t="inlineStr">
        <is>
          <t>Mutual evaluation and enhanced follow-up reports; 2026 FURs for Niger, Mali, CI</t>
        </is>
      </c>
      <c r="J18" s="35" t="inlineStr">
        <is>
          <t>EN</t>
        </is>
      </c>
      <c r="K18" s="35" t="inlineStr">
        <is>
          <t>ja</t>
        </is>
      </c>
      <c r="L18" s="35" t="inlineStr">
        <is>
          <t>Confirmed in search index on official domain (direct fetch blocked in sandbox).</t>
        </is>
      </c>
    </row>
    <row r="19" ht="26.85" customHeight="1" s="31">
      <c r="B19" s="35" t="inlineStr">
        <is>
          <t>Regional</t>
        </is>
      </c>
      <c r="C19" s="35" t="inlineStr">
        <is>
          <t>ESAAMLG</t>
        </is>
      </c>
      <c r="D19" s="35" t="inlineStr">
        <is>
          <t>FATF/regional</t>
        </is>
      </c>
      <c r="E19" s="35" t="inlineStr">
        <is>
          <t>Eastern and Southern Africa Anti-Money Laundering Group</t>
        </is>
      </c>
      <c r="F19" s="35" t="inlineStr">
        <is>
          <t>ESAAMLG - Countries</t>
        </is>
      </c>
      <c r="G19" s="58" t="inlineStr">
        <is>
          <t>https://www.esaamlg.org/index.php/countries</t>
        </is>
      </c>
      <c r="H19" s="35" t="inlineStr">
        <is>
          <t>HTML</t>
        </is>
      </c>
      <c r="I19" s="35" t="inlineStr">
        <is>
          <t>Member countries (22) incl. Kenya, Rwanda; links to MERs</t>
        </is>
      </c>
      <c r="J19" s="35" t="inlineStr">
        <is>
          <t>EN</t>
        </is>
      </c>
      <c r="K19" s="35" t="inlineStr">
        <is>
          <t>ja</t>
        </is>
      </c>
      <c r="L19" s="35" t="inlineStr">
        <is>
          <t>Confirmed in search index on official domain (direct fetch blocked in sandbox).</t>
        </is>
      </c>
    </row>
    <row r="20" ht="26.85" customHeight="1" s="31">
      <c r="B20" s="35" t="inlineStr">
        <is>
          <t>Regional</t>
        </is>
      </c>
      <c r="C20" s="35" t="inlineStr">
        <is>
          <t>ESAAMLG</t>
        </is>
      </c>
      <c r="D20" s="35" t="inlineStr">
        <is>
          <t>FATF/regional</t>
        </is>
      </c>
      <c r="E20" s="35" t="inlineStr">
        <is>
          <t>ESAAMLG</t>
        </is>
      </c>
      <c r="F20" s="35" t="inlineStr">
        <is>
          <t>Second Round MER of Rwanda (July 2024)</t>
        </is>
      </c>
      <c r="G20" s="58" t="inlineStr">
        <is>
          <t>https://www.esaamlg.org/reports/Second%20Round%20MER%20of%20Rwanda-July%202024.pdf</t>
        </is>
      </c>
      <c r="H20" s="35" t="inlineStr">
        <is>
          <t>PDF</t>
        </is>
      </c>
      <c r="I20" s="35" t="inlineStr">
        <is>
          <t>Rwanda mutual evaluation report - sector-by-sector AML/CFT gaps (useful for sales pitch)</t>
        </is>
      </c>
      <c r="J20" s="35" t="inlineStr">
        <is>
          <t>EN</t>
        </is>
      </c>
      <c r="K20" s="35" t="inlineStr">
        <is>
          <t>ja</t>
        </is>
      </c>
      <c r="L20" s="35" t="inlineStr">
        <is>
          <t>Confirmed in search index on official domain (direct fetch blocked in sandbox).</t>
        </is>
      </c>
    </row>
    <row r="21" ht="52.2" customHeight="1" s="31">
      <c r="B21" s="35" t="inlineStr">
        <is>
          <t>Regional</t>
        </is>
      </c>
      <c r="C21" s="35" t="inlineStr">
        <is>
          <t>GABAC</t>
        </is>
      </c>
      <c r="D21" s="35" t="inlineStr">
        <is>
          <t>FATF/regional</t>
        </is>
      </c>
      <c r="E21" s="35" t="inlineStr">
        <is>
          <t>GABAC (Groupe d'Action contre le Blanchiment d'Argent en Afrique Centrale)</t>
        </is>
      </c>
      <c r="F21" s="35" t="inlineStr">
        <is>
          <t>Rapports d'évaluation mutuelle</t>
        </is>
      </c>
      <c r="G21" s="58" t="inlineStr">
        <is>
          <t>https://gabac.org/rapports-devaluation-mutuelle/</t>
        </is>
      </c>
      <c r="H21" s="35" t="inlineStr">
        <is>
          <t>HTML</t>
        </is>
      </c>
      <c r="I21" s="35" t="inlineStr">
        <is>
          <t>MERs and follow-up reports for Cameroon, Gabon, Congo, DRC, Chad, CAR, Eq. Guinea</t>
        </is>
      </c>
      <c r="J21" s="35" t="inlineStr">
        <is>
          <t>FR</t>
        </is>
      </c>
      <c r="K21" s="35" t="inlineStr">
        <is>
          <t>ja</t>
        </is>
      </c>
      <c r="L21" s="35" t="inlineStr">
        <is>
          <t>Confirmed in search index on official domain (direct fetch blocked in sandbox). DRC is a GABAC member (not ESAAMLG).</t>
        </is>
      </c>
    </row>
    <row r="22" ht="26.85" customHeight="1" s="31">
      <c r="B22" s="35" t="inlineStr">
        <is>
          <t>Regional</t>
        </is>
      </c>
      <c r="C22" s="35" t="inlineStr">
        <is>
          <t>BCEAO</t>
        </is>
      </c>
      <c r="D22" s="35" t="inlineStr">
        <is>
          <t>Forex/Money transfer</t>
        </is>
      </c>
      <c r="E22" s="35" t="inlineStr">
        <is>
          <t>BCEAO</t>
        </is>
      </c>
      <c r="F22" s="35" t="inlineStr">
        <is>
          <t>Liste des intermédiaires en opérations de banque agréés dans l'UMOA en 2025</t>
        </is>
      </c>
      <c r="G22" s="58" t="inlineStr">
        <is>
          <t>https://www.bceao.int/sites/default/files/inline-files/Liste-des-Intermediaires-en-Operation-de-Banque-au-31-decembre-2025.pdf</t>
        </is>
      </c>
      <c r="H22" s="35" t="inlineStr">
        <is>
          <t>PDF</t>
        </is>
      </c>
      <c r="I22" s="35" t="inlineStr">
        <is>
          <t>Licensed banking intermediaries (IOB) incl. money-transfer sub-agents, by country</t>
        </is>
      </c>
      <c r="J22" s="35" t="inlineStr">
        <is>
          <t>FR</t>
        </is>
      </c>
      <c r="K22" s="35" t="inlineStr">
        <is>
          <t>ja</t>
        </is>
      </c>
      <c r="L22" s="35" t="inlineStr">
        <is>
          <t>Confirmed in search index on official domain (direct fetch blocked in sandbox).</t>
        </is>
      </c>
    </row>
    <row r="23" ht="52.2" customHeight="1" s="31">
      <c r="B23" s="35" t="inlineStr">
        <is>
          <t>Regional</t>
        </is>
      </c>
      <c r="C23" s="35" t="inlineStr">
        <is>
          <t>CIMA</t>
        </is>
      </c>
      <c r="D23" s="35" t="inlineStr">
        <is>
          <t>Industry association</t>
        </is>
      </c>
      <c r="E23" s="35" t="inlineStr">
        <is>
          <t>FANAF</t>
        </is>
      </c>
      <c r="F23" s="35" t="inlineStr">
        <is>
          <t>Annuaire FANAF 2023 (32e édition)</t>
        </is>
      </c>
      <c r="G23" s="58" t="inlineStr">
        <is>
          <t>https://fanaf.org/wp-content/uploads/2025/04/ANNUAIRE_FANAF_2023_32e_Edition.pdf</t>
        </is>
      </c>
      <c r="H23" s="35" t="inlineStr">
        <is>
          <t>PDF</t>
        </is>
      </c>
      <c r="I23" s="35" t="inlineStr">
        <is>
          <t>Directory of member insurers/reinsurers in 27 African countries with contacts, plus national insurance associations</t>
        </is>
      </c>
      <c r="J23" s="35" t="inlineStr">
        <is>
          <t>FR</t>
        </is>
      </c>
      <c r="K23" s="35" t="inlineStr">
        <is>
          <t>ja</t>
        </is>
      </c>
      <c r="L23" s="35" t="inlineStr">
        <is>
          <t>Confirmed in search index on official domain (direct fetch blocked in sandbox). Good contact source for insurer compliance teams.</t>
        </is>
      </c>
    </row>
    <row r="24" ht="52.2" customHeight="1" s="31">
      <c r="B24" s="35" t="inlineStr">
        <is>
          <t>Regional</t>
        </is>
      </c>
      <c r="C24" s="35" t="inlineStr">
        <is>
          <t>CIMA</t>
        </is>
      </c>
      <c r="D24" s="35" t="inlineStr">
        <is>
          <t>Insurance</t>
        </is>
      </c>
      <c r="E24" s="35" t="inlineStr">
        <is>
          <t>CIMA (Conférence Interafricaine des Marchés d'Assurances)</t>
        </is>
      </c>
      <c r="F24" s="35" t="inlineStr">
        <is>
          <t>Bulletin Officiel 30e édition (31 déc. 2024)</t>
        </is>
      </c>
      <c r="G24" s="58" t="inlineStr">
        <is>
          <t>https://cima-afrique.org/wp-content/uploads/2025/03/Bulletin-Officiel-30eme-Edition_compressed.pdf</t>
        </is>
      </c>
      <c r="H24" s="35" t="inlineStr">
        <is>
          <t>PDF</t>
        </is>
      </c>
      <c r="I24" s="35" t="inlineStr">
        <is>
          <t>Official bulletin of licensing decisions, extensions and withdrawals for insurers across 14 CFA-zone states</t>
        </is>
      </c>
      <c r="J24" s="35" t="inlineStr">
        <is>
          <t>FR</t>
        </is>
      </c>
      <c r="K24" s="35" t="inlineStr">
        <is>
          <t>ja</t>
        </is>
      </c>
      <c r="L24" s="35" t="inlineStr">
        <is>
          <t>Confirmed in search index on official domain (direct fetch blocked in sandbox). No single consolidated register; ~181 licensed insurers (2022).</t>
        </is>
      </c>
    </row>
    <row r="25" ht="26.85" customHeight="1" s="31">
      <c r="B25" s="35" t="inlineStr">
        <is>
          <t>Regional</t>
        </is>
      </c>
      <c r="C25" s="35" t="inlineStr">
        <is>
          <t>CIMA</t>
        </is>
      </c>
      <c r="D25" s="35" t="inlineStr">
        <is>
          <t>Insurance</t>
        </is>
      </c>
      <c r="E25" s="35" t="inlineStr">
        <is>
          <t>CIMA</t>
        </is>
      </c>
      <c r="F25" s="35" t="inlineStr">
        <is>
          <t>Rapport des marchés CIMA 2022</t>
        </is>
      </c>
      <c r="G25" s="58" t="inlineStr">
        <is>
          <t>https://cima-afrique.org/wp-content/uploads/2024/10/rapport-des-marches-CIMA-2022.pdf</t>
        </is>
      </c>
      <c r="H25" s="35" t="inlineStr">
        <is>
          <t>PDF</t>
        </is>
      </c>
      <c r="I25" s="35" t="inlineStr">
        <is>
          <t>Market report naming insurers by country (181 companies: 116 non-life, 65 life)</t>
        </is>
      </c>
      <c r="J25" s="35" t="inlineStr">
        <is>
          <t>FR</t>
        </is>
      </c>
      <c r="K25" s="35" t="inlineStr">
        <is>
          <t>ja</t>
        </is>
      </c>
      <c r="L25" s="35" t="inlineStr">
        <is>
          <t>Confirmed in search index on official domain (direct fetch blocked in sandbox).</t>
        </is>
      </c>
    </row>
    <row r="26" ht="52.2" customHeight="1" s="31">
      <c r="B26" s="35" t="inlineStr">
        <is>
          <t>Regional</t>
        </is>
      </c>
      <c r="C26" s="35" t="inlineStr">
        <is>
          <t>BCEAO</t>
        </is>
      </c>
      <c r="D26" s="35" t="inlineStr">
        <is>
          <t>Microfinance</t>
        </is>
      </c>
      <c r="E26" s="35" t="inlineStr">
        <is>
          <t>Commission Bancaire de l'UMOA</t>
        </is>
      </c>
      <c r="F26" s="35" t="inlineStr">
        <is>
          <t>Landscape of reporting institutions</t>
        </is>
      </c>
      <c r="G26" s="58" t="inlineStr">
        <is>
          <t>https://cb-umoa.org/en/landscape-reporting-institutions</t>
        </is>
      </c>
      <c r="H26" s="35" t="inlineStr">
        <is>
          <t>HTML</t>
        </is>
      </c>
      <c r="I26" s="35" t="inlineStr">
        <is>
          <t>Counts of banks/FIs per country and Article 44 SFDs (286 large MFIs under BCEAO/CB supervision)</t>
        </is>
      </c>
      <c r="J26" s="35" t="inlineStr">
        <is>
          <t>FR</t>
        </is>
      </c>
      <c r="K26" s="35" t="inlineStr">
        <is>
          <t>ja</t>
        </is>
      </c>
      <c r="L26" s="35" t="inlineStr">
        <is>
          <t>Confirmed in search index on official domain (direct fetch blocked in sandbox). Named Art.44 SFD list not located; see BCEAO 'Crédit et Microfinance' page.</t>
        </is>
      </c>
    </row>
    <row r="27" ht="64.90000000000001" customHeight="1" s="31">
      <c r="B27" s="35" t="inlineStr">
        <is>
          <t>Regional</t>
        </is>
      </c>
      <c r="C27" s="35" t="inlineStr">
        <is>
          <t>BCEAO</t>
        </is>
      </c>
      <c r="D27" s="35" t="inlineStr">
        <is>
          <t>Microfinance</t>
        </is>
      </c>
      <c r="E27" s="35" t="inlineStr">
        <is>
          <t>BCEAO</t>
        </is>
      </c>
      <c r="F27" s="35" t="inlineStr">
        <is>
          <t>Crédit et Microfinance (documents)</t>
        </is>
      </c>
      <c r="G27" s="58" t="inlineStr">
        <is>
          <t>https://www.bceao.int/fr/documents/credit-et-microfinance</t>
        </is>
      </c>
      <c r="H27" s="35" t="inlineStr">
        <is>
          <t>HTML</t>
        </is>
      </c>
      <c r="I27" s="35" t="inlineStr">
        <is>
          <t>SFD indicators (to 30 June 2025) and microfinance documents; source for SFD statistics</t>
        </is>
      </c>
      <c r="J27" s="35" t="inlineStr">
        <is>
          <t>FR</t>
        </is>
      </c>
      <c r="K27" s="35" t="inlineStr">
        <is>
          <t>ja</t>
        </is>
      </c>
      <c r="L27" s="35" t="inlineStr">
        <is>
          <t>Confirmed in search index on official domain (direct fetch blocked in sandbox). Named SFD lists are held by national ministry units (DRS-SFD Senegal, DRSSFD CI, CCS-SFD Mali).</t>
        </is>
      </c>
    </row>
    <row r="28" ht="52.2" customHeight="1" s="31">
      <c r="B28" s="35" t="inlineStr">
        <is>
          <t>Regional</t>
        </is>
      </c>
      <c r="C28" s="35" t="inlineStr">
        <is>
          <t>BCEAO</t>
        </is>
      </c>
      <c r="D28" s="35" t="inlineStr">
        <is>
          <t>Payments/E-money</t>
        </is>
      </c>
      <c r="E28" s="35" t="inlineStr">
        <is>
          <t>BCEAO</t>
        </is>
      </c>
      <c r="F28" s="35" t="inlineStr">
        <is>
          <t>Liste des établissements de paiement agréés dans l'UMOA (au 28 février 2026)</t>
        </is>
      </c>
      <c r="G28" s="58" t="inlineStr">
        <is>
          <t>https://www.bceao.int/sites/default/files/2026-03/LISTE%20DES%20ETABLISSEMENTS%20DE%20PAIEMENT%20AGR%C3%89%C3%89S%20DANS%20L%E2%80%99UMOA%20au%2031%20janvier%202026.pdf</t>
        </is>
      </c>
      <c r="H28" s="35" t="inlineStr">
        <is>
          <t>PDF</t>
        </is>
      </c>
      <c r="I28" s="35" t="inlineStr">
        <is>
          <t>31 licensed payment institutions (CI 9, Senegal 11, Togo 3, Mali 1...) with registration no. and date</t>
        </is>
      </c>
      <c r="J28" s="35" t="inlineStr">
        <is>
          <t>FR</t>
        </is>
      </c>
      <c r="K28" s="35" t="inlineStr">
        <is>
          <t>ja</t>
        </is>
      </c>
      <c r="L28" s="35" t="inlineStr">
        <is>
          <t>Confirmed in search index on official domain (direct fetch blocked in sandbox). BCEAO homepage mentions a 31 Aug 2026 update.</t>
        </is>
      </c>
    </row>
    <row r="29" ht="52.2" customHeight="1" s="31">
      <c r="B29" s="35" t="inlineStr">
        <is>
          <t>Regional</t>
        </is>
      </c>
      <c r="C29" s="35" t="inlineStr">
        <is>
          <t>BCEAO</t>
        </is>
      </c>
      <c r="D29" s="35" t="inlineStr">
        <is>
          <t>Payments/E-money</t>
        </is>
      </c>
      <c r="E29" s="35" t="inlineStr">
        <is>
          <t>BCEAO</t>
        </is>
      </c>
      <c r="F29" s="35" t="inlineStr">
        <is>
          <t>Etablissements de Monnaie Electronique</t>
        </is>
      </c>
      <c r="G29" s="58" t="inlineStr">
        <is>
          <t>https://www.bceao.int/fr/content/etablissements-de-monnaie-electronique</t>
        </is>
      </c>
      <c r="H29" s="35" t="inlineStr">
        <is>
          <t>HTML</t>
        </is>
      </c>
      <c r="I29" s="35" t="inlineStr">
        <is>
          <t>82 e-money initiatives: 18 EMEs, 4 Treasuries, 1 SFD, 59 bank-telco partnerships, by country</t>
        </is>
      </c>
      <c r="J29" s="35" t="inlineStr">
        <is>
          <t>FR</t>
        </is>
      </c>
      <c r="K29" s="35" t="inlineStr">
        <is>
          <t>ja</t>
        </is>
      </c>
      <c r="L29" s="35" t="inlineStr">
        <is>
          <t>Confirmed in search index on official domain (direct fetch blocked in sandbox). English version: /en/content/electronic-money-issuing-institutions-0</t>
        </is>
      </c>
    </row>
    <row r="30" ht="26.85" customHeight="1" s="31">
      <c r="B30" s="35" t="inlineStr">
        <is>
          <t>Regional</t>
        </is>
      </c>
      <c r="C30" s="35" t="inlineStr">
        <is>
          <t>BCEAO</t>
        </is>
      </c>
      <c r="D30" s="35" t="inlineStr">
        <is>
          <t>Payments/E-money</t>
        </is>
      </c>
      <c r="E30" s="35" t="inlineStr">
        <is>
          <t>Commission Bancaire de l'UMOA</t>
        </is>
      </c>
      <c r="F30" s="35" t="inlineStr">
        <is>
          <t>UMOA - Liste des EME et EP de l'UMOA 2026</t>
        </is>
      </c>
      <c r="G30" s="58" t="inlineStr">
        <is>
          <t>https://www.cb-umoa.org/sites/default/files/Liste%20%20des%20EME%20ET%20EP%20de%20l%27UMOA%202026.pdf</t>
        </is>
      </c>
      <c r="H30" s="35" t="inlineStr">
        <is>
          <t>PDF</t>
        </is>
      </c>
      <c r="I30" s="35" t="inlineStr">
        <is>
          <t>Consolidated e-money issuers and payment institutions across UMOA (as at 29 June 2026)</t>
        </is>
      </c>
      <c r="J30" s="35" t="inlineStr">
        <is>
          <t>FR</t>
        </is>
      </c>
      <c r="K30" s="35" t="inlineStr">
        <is>
          <t>ja</t>
        </is>
      </c>
      <c r="L30" s="35" t="inlineStr">
        <is>
          <t>Confirmed in search index on official domain (direct fetch blocked in sandbox).</t>
        </is>
      </c>
    </row>
    <row r="31" ht="52.2" customHeight="1" s="31">
      <c r="B31" s="35" t="inlineStr">
        <is>
          <t>Regional</t>
        </is>
      </c>
      <c r="C31" s="35" t="inlineStr">
        <is>
          <t>COBAC/BEAC</t>
        </is>
      </c>
      <c r="D31" s="35" t="inlineStr">
        <is>
          <t>Payments/E-money</t>
        </is>
      </c>
      <c r="E31" s="35" t="inlineStr">
        <is>
          <t>BEAC</t>
        </is>
      </c>
      <c r="F31" s="35" t="inlineStr">
        <is>
          <t>Rapport sur les services de paiement dans la CEMAC 2024</t>
        </is>
      </c>
      <c r="G31" s="58" t="inlineStr">
        <is>
          <t>https://www.beac.int/wp-content/uploads/2026/04/RAPPORT-SUR-LES-SERVICES-DE-PAIEMENT-DANS-LA-CEMAC-2024-.pdf</t>
        </is>
      </c>
      <c r="H31" s="35" t="inlineStr">
        <is>
          <t>PDF</t>
        </is>
      </c>
      <c r="I31" s="35" t="inlineStr">
        <is>
          <t>Payment service providers / e-money in CEMAC (aggregate; annexes may name institutions)</t>
        </is>
      </c>
      <c r="J31" s="35" t="inlineStr">
        <is>
          <t>FR</t>
        </is>
      </c>
      <c r="K31" s="35" t="inlineStr">
        <is>
          <t>ja</t>
        </is>
      </c>
      <c r="L31" s="35" t="inlineStr">
        <is>
          <t>Confirmed in search index on official domain (direct fetch blocked in sandbox). No standalone named list of payment institutions found.</t>
        </is>
      </c>
    </row>
    <row r="32" ht="39.55" customHeight="1" s="31">
      <c r="B32" s="35" t="inlineStr">
        <is>
          <t>DR Congo</t>
        </is>
      </c>
      <c r="C32" s="35" t="inlineStr">
        <is>
          <t>GABAC</t>
        </is>
      </c>
      <c r="D32" s="35" t="inlineStr">
        <is>
          <t>Banks</t>
        </is>
      </c>
      <c r="E32" s="35" t="inlineStr">
        <is>
          <t>Banque Centrale du Congo (BCC)</t>
        </is>
      </c>
      <c r="F32" s="35" t="inlineStr">
        <is>
          <t>Banques agréées : intermédiaires financiers en RDC</t>
        </is>
      </c>
      <c r="G32" s="58" t="inlineStr">
        <is>
          <t>https://www.bcc.cd/intermediaires-financiers/banques-agreees</t>
        </is>
      </c>
      <c r="H32" s="35" t="inlineStr">
        <is>
          <t>HTML</t>
        </is>
      </c>
      <c r="I32" s="35" t="inlineStr">
        <is>
          <t>~15-16 licensed commercial banks (Equity BCDC, Rawbank, TMB, Ecobank, FirstBank, UBA, BGFI...) with licence refs</t>
        </is>
      </c>
      <c r="J32" s="35" t="inlineStr">
        <is>
          <t>FR</t>
        </is>
      </c>
      <c r="K32" s="35" t="inlineStr">
        <is>
          <t>ja</t>
        </is>
      </c>
      <c r="L32" s="35" t="inlineStr">
        <is>
          <t>Confirmed in search index on official domain (direct fetch blocked in sandbox).</t>
        </is>
      </c>
    </row>
    <row r="33" ht="39.55" customHeight="1" s="31">
      <c r="B33" s="35" t="inlineStr">
        <is>
          <t>DR Congo</t>
        </is>
      </c>
      <c r="C33" s="35" t="inlineStr">
        <is>
          <t>GABAC</t>
        </is>
      </c>
      <c r="D33" s="35" t="inlineStr">
        <is>
          <t>Banks</t>
        </is>
      </c>
      <c r="E33" s="35" t="inlineStr">
        <is>
          <t>Banque Centrale du Congo (BCC)</t>
        </is>
      </c>
      <c r="F33" s="35" t="inlineStr">
        <is>
          <t>Stabilité financière - Intermédiaires financiers (hub)</t>
        </is>
      </c>
      <c r="G33" s="58" t="inlineStr">
        <is>
          <t>https://www.bcc.cd/intermediaires-financiers</t>
        </is>
      </c>
      <c r="H33" s="35" t="inlineStr">
        <is>
          <t>HTML</t>
        </is>
      </c>
      <c r="I33" s="35" t="inlineStr">
        <is>
          <t>Hub of BCC registers: banks, microfinance, COOPEC, e-money, messageries financières, bureaux de change, ancillary PSPs</t>
        </is>
      </c>
      <c r="J33" s="35" t="inlineStr">
        <is>
          <t>FR</t>
        </is>
      </c>
      <c r="K33" s="35" t="inlineStr">
        <is>
          <t>ja</t>
        </is>
      </c>
      <c r="L33" s="35" t="inlineStr">
        <is>
          <t>Confirmed in search index on official domain (direct fetch blocked in sandbox).</t>
        </is>
      </c>
    </row>
    <row r="34" ht="26.85" customHeight="1" s="31">
      <c r="B34" s="35" t="inlineStr">
        <is>
          <t>DR Congo</t>
        </is>
      </c>
      <c r="C34" s="35" t="inlineStr">
        <is>
          <t>GABAC</t>
        </is>
      </c>
      <c r="D34" s="35" t="inlineStr">
        <is>
          <t>FIU</t>
        </is>
      </c>
      <c r="E34" s="35" t="inlineStr">
        <is>
          <t>CENAREF (Cellule Nationale des Renseignements Financiers)</t>
        </is>
      </c>
      <c r="F34" s="35" t="inlineStr">
        <is>
          <t>CENAREF - no official website located</t>
        </is>
      </c>
      <c r="G34" s="35" t="n"/>
      <c r="H34" s="35" t="inlineStr">
        <is>
          <t>HTML</t>
        </is>
      </c>
      <c r="I34" s="35" t="inlineStr">
        <is>
          <t>FIU (joined Egmont July 2026); regulations via Loi 22/068 AML/CFT</t>
        </is>
      </c>
      <c r="J34" s="35" t="inlineStr">
        <is>
          <t>FR</t>
        </is>
      </c>
      <c r="K34" s="35" t="inlineStr">
        <is>
          <t>nein</t>
        </is>
      </c>
      <c r="L34" s="35" t="inlineStr">
        <is>
          <t>No official domain found in search; contact via Ministry of Finance. Not invented.</t>
        </is>
      </c>
    </row>
    <row r="35" ht="52.2" customHeight="1" s="31">
      <c r="B35" s="35" t="inlineStr">
        <is>
          <t>DR Congo</t>
        </is>
      </c>
      <c r="C35" s="35" t="inlineStr">
        <is>
          <t>GABAC</t>
        </is>
      </c>
      <c r="D35" s="35" t="inlineStr">
        <is>
          <t>Forex/Money transfer</t>
        </is>
      </c>
      <c r="E35" s="35" t="inlineStr">
        <is>
          <t>Banque Centrale du Congo (BCC)</t>
        </is>
      </c>
      <c r="F35" s="35" t="inlineStr">
        <is>
          <t>Messageries financières agréées</t>
        </is>
      </c>
      <c r="G35" s="58" t="inlineStr">
        <is>
          <t>https://www.bcc.cd/intermediaires-financiers/messageries-financieres</t>
        </is>
      </c>
      <c r="H35" s="35" t="inlineStr">
        <is>
          <t>HTML</t>
        </is>
      </c>
      <c r="I35" s="35" t="inlineStr">
        <is>
          <t>Licensed money-transfer operators (messageries financières)</t>
        </is>
      </c>
      <c r="J35" s="35" t="inlineStr">
        <is>
          <t>FR</t>
        </is>
      </c>
      <c r="K35" s="35" t="inlineStr">
        <is>
          <t>ja</t>
        </is>
      </c>
      <c r="L35" s="35" t="inlineStr">
        <is>
          <t>Confirmed in search index on official domain (direct fetch blocked in sandbox). Bureaux de change register is a sub-section of the same hub.</t>
        </is>
      </c>
    </row>
    <row r="36" ht="39.55" customHeight="1" s="31">
      <c r="B36" s="35" t="inlineStr">
        <is>
          <t>DR Congo</t>
        </is>
      </c>
      <c r="C36" s="35" t="inlineStr">
        <is>
          <t>GABAC</t>
        </is>
      </c>
      <c r="D36" s="35" t="inlineStr">
        <is>
          <t>Industry association</t>
        </is>
      </c>
      <c r="E36" s="35" t="inlineStr">
        <is>
          <t>Association Congolaise des Banques (ACB)</t>
        </is>
      </c>
      <c r="F36" s="35" t="inlineStr">
        <is>
          <t>ACB - site officiel</t>
        </is>
      </c>
      <c r="G36" s="58" t="inlineStr">
        <is>
          <t>https://www.acb-rdc.cd</t>
        </is>
      </c>
      <c r="H36" s="35" t="inlineStr">
        <is>
          <t>HTML</t>
        </is>
      </c>
      <c r="I36" s="35" t="inlineStr">
        <is>
          <t>Mandatory association of all DRC credit institutions (membership compulsory by law)</t>
        </is>
      </c>
      <c r="J36" s="35" t="inlineStr">
        <is>
          <t>FR</t>
        </is>
      </c>
      <c r="K36" s="35" t="inlineStr">
        <is>
          <t>nein</t>
        </is>
      </c>
      <c r="L36" s="35" t="inlineStr">
        <is>
          <t>Domain cited in ACB LinkedIn announcement; not confirmed by search index.</t>
        </is>
      </c>
    </row>
    <row r="37" ht="39.55" customHeight="1" s="31">
      <c r="B37" s="35" t="inlineStr">
        <is>
          <t>DR Congo</t>
        </is>
      </c>
      <c r="C37" s="35" t="inlineStr">
        <is>
          <t>GABAC</t>
        </is>
      </c>
      <c r="D37" s="35" t="inlineStr">
        <is>
          <t>Insurance</t>
        </is>
      </c>
      <c r="E37" s="35" t="inlineStr">
        <is>
          <t>ARCA (Autorité de Régulation et de Contrôle des Assurances)</t>
        </is>
      </c>
      <c r="F37" s="35" t="inlineStr">
        <is>
          <t>Sociétés d'assurances - Arca</t>
        </is>
      </c>
      <c r="G37" s="58" t="inlineStr">
        <is>
          <t>https://arca.cd/societes-dassurances-2/</t>
        </is>
      </c>
      <c r="H37" s="35" t="inlineStr">
        <is>
          <t>HTML</t>
        </is>
      </c>
      <c r="I37" s="35" t="inlineStr">
        <is>
          <t>Licensed life &amp; non-life insurers with approval numbers (Rawsur, Activa, SFA, SUNU, Mayfair, GPA, SONAS...)</t>
        </is>
      </c>
      <c r="J37" s="35" t="inlineStr">
        <is>
          <t>FR</t>
        </is>
      </c>
      <c r="K37" s="35" t="inlineStr">
        <is>
          <t>ja</t>
        </is>
      </c>
      <c r="L37" s="35" t="inlineStr">
        <is>
          <t>Confirmed in search index on official domain (direct fetch blocked in sandbox). Page copyright 2022; may lag.</t>
        </is>
      </c>
    </row>
    <row r="38" ht="26.85" customHeight="1" s="31">
      <c r="B38" s="35" t="inlineStr">
        <is>
          <t>DR Congo</t>
        </is>
      </c>
      <c r="C38" s="35" t="inlineStr">
        <is>
          <t>GABAC</t>
        </is>
      </c>
      <c r="D38" s="35" t="inlineStr">
        <is>
          <t>Insurance</t>
        </is>
      </c>
      <c r="E38" s="35" t="inlineStr">
        <is>
          <t>ARCA</t>
        </is>
      </c>
      <c r="F38" s="35" t="inlineStr">
        <is>
          <t>Intermédiaires d'assurances - Arca</t>
        </is>
      </c>
      <c r="G38" s="58" t="inlineStr">
        <is>
          <t>https://arca.cd/intermediaires/</t>
        </is>
      </c>
      <c r="H38" s="35" t="inlineStr">
        <is>
          <t>HTML</t>
        </is>
      </c>
      <c r="I38" s="35" t="inlineStr">
        <is>
          <t>Licensed insurance brokers and general agents (~29)</t>
        </is>
      </c>
      <c r="J38" s="35" t="inlineStr">
        <is>
          <t>FR</t>
        </is>
      </c>
      <c r="K38" s="35" t="inlineStr">
        <is>
          <t>ja</t>
        </is>
      </c>
      <c r="L38" s="35" t="inlineStr">
        <is>
          <t>Confirmed in search index on official domain (direct fetch blocked in sandbox).</t>
        </is>
      </c>
    </row>
    <row r="39" ht="39.55" customHeight="1" s="31">
      <c r="B39" s="35" t="inlineStr">
        <is>
          <t>DR Congo</t>
        </is>
      </c>
      <c r="C39" s="35" t="inlineStr">
        <is>
          <t>GABAC</t>
        </is>
      </c>
      <c r="D39" s="35" t="inlineStr">
        <is>
          <t>Microfinance</t>
        </is>
      </c>
      <c r="E39" s="35" t="inlineStr">
        <is>
          <t>Banque Centrale du Congo (BCC)</t>
        </is>
      </c>
      <c r="F39" s="35" t="inlineStr">
        <is>
          <t>Sociétés de microfinance agréées</t>
        </is>
      </c>
      <c r="G39" s="58" t="inlineStr">
        <is>
          <t>https://www.bcc.cd/intermediaires-financiers/microfinance</t>
        </is>
      </c>
      <c r="H39" s="35" t="inlineStr">
        <is>
          <t>HTML</t>
        </is>
      </c>
      <c r="I39" s="35" t="inlineStr">
        <is>
          <t>Licensed microfinance companies (FINCA, Baobab, LOLC, SMICO...) - sector 116 institutions end-2025</t>
        </is>
      </c>
      <c r="J39" s="35" t="inlineStr">
        <is>
          <t>FR</t>
        </is>
      </c>
      <c r="K39" s="35" t="inlineStr">
        <is>
          <t>ja</t>
        </is>
      </c>
      <c r="L39" s="35" t="inlineStr">
        <is>
          <t>Confirmed in search index on official domain (direct fetch blocked in sandbox).</t>
        </is>
      </c>
    </row>
    <row r="40" ht="26.85" customHeight="1" s="31">
      <c r="B40" s="35" t="inlineStr">
        <is>
          <t>DR Congo</t>
        </is>
      </c>
      <c r="C40" s="35" t="inlineStr">
        <is>
          <t>GABAC</t>
        </is>
      </c>
      <c r="D40" s="35" t="inlineStr">
        <is>
          <t>Microfinance</t>
        </is>
      </c>
      <c r="E40" s="35" t="inlineStr">
        <is>
          <t>Banque Centrale du Congo (BCC)</t>
        </is>
      </c>
      <c r="F40" s="35" t="inlineStr">
        <is>
          <t>Caisses d'épargne et de crédit agréées</t>
        </is>
      </c>
      <c r="G40" s="58" t="inlineStr">
        <is>
          <t>https://www.bcc.cd/intermediaires-financiers/caisse-epargne-credit</t>
        </is>
      </c>
      <c r="H40" s="35" t="inlineStr">
        <is>
          <t>HTML</t>
        </is>
      </c>
      <c r="I40" s="35" t="inlineStr">
        <is>
          <t>Licensed savings &amp; credit cooperatives (COOPEC)</t>
        </is>
      </c>
      <c r="J40" s="35" t="inlineStr">
        <is>
          <t>FR</t>
        </is>
      </c>
      <c r="K40" s="35" t="inlineStr">
        <is>
          <t>ja</t>
        </is>
      </c>
      <c r="L40" s="35" t="inlineStr">
        <is>
          <t>Confirmed in search index on official domain (direct fetch blocked in sandbox).</t>
        </is>
      </c>
    </row>
    <row r="41" ht="39.55" customHeight="1" s="31">
      <c r="B41" s="35" t="inlineStr">
        <is>
          <t>DR Congo</t>
        </is>
      </c>
      <c r="C41" s="35" t="inlineStr">
        <is>
          <t>GABAC</t>
        </is>
      </c>
      <c r="D41" s="35" t="inlineStr">
        <is>
          <t>Payments/E-money</t>
        </is>
      </c>
      <c r="E41" s="35" t="inlineStr">
        <is>
          <t>Banque Centrale du Congo (BCC)</t>
        </is>
      </c>
      <c r="F41" s="35" t="inlineStr">
        <is>
          <t>Etablissements émetteurs de monnaie électronique</t>
        </is>
      </c>
      <c r="G41" s="58" t="inlineStr">
        <is>
          <t>https://www.bcc.cd/surveillance-des-intermediaires-financiers/intermediaires-financiers-assujettis/etablissements-de-credit/societes-financieres/ee</t>
        </is>
      </c>
      <c r="H41" s="35" t="inlineStr">
        <is>
          <t>HTML</t>
        </is>
      </c>
      <c r="I41" s="35" t="inlineStr">
        <is>
          <t>4 e-money issuers: Vodacash (M-Pesa), Airtel Money RDC, Orange Money RDC, Afrimobile Money</t>
        </is>
      </c>
      <c r="J41" s="35" t="inlineStr">
        <is>
          <t>FR</t>
        </is>
      </c>
      <c r="K41" s="35" t="inlineStr">
        <is>
          <t>ja</t>
        </is>
      </c>
      <c r="L41" s="35" t="inlineStr">
        <is>
          <t>Confirmed in search index on official domain (direct fetch blocked in sandbox). Licence dates 2012-2015; may be stale.</t>
        </is>
      </c>
    </row>
    <row r="42" ht="39.55" customHeight="1" s="31">
      <c r="B42" s="35" t="inlineStr">
        <is>
          <t>DR Congo</t>
        </is>
      </c>
      <c r="C42" s="35" t="inlineStr">
        <is>
          <t>GABAC</t>
        </is>
      </c>
      <c r="D42" s="35" t="inlineStr">
        <is>
          <t>Payments/E-money</t>
        </is>
      </c>
      <c r="E42" s="35" t="inlineStr">
        <is>
          <t>Banque Centrale du Congo (BCC)</t>
        </is>
      </c>
      <c r="F42" s="35" t="inlineStr">
        <is>
          <t>Prestataires des services connexes agréés</t>
        </is>
      </c>
      <c r="G42" s="58" t="inlineStr">
        <is>
          <t>https://www.bcc.cd/intermediaires-financiers/prestataires-services-connexes</t>
        </is>
      </c>
      <c r="H42" s="35" t="inlineStr">
        <is>
          <t>HTML</t>
        </is>
      </c>
      <c r="I42" s="35" t="inlineStr">
        <is>
          <t>Licensed payment-related service providers/aggregators (Monetbil, PayWay Congo, Nomba...)</t>
        </is>
      </c>
      <c r="J42" s="35" t="inlineStr">
        <is>
          <t>FR</t>
        </is>
      </c>
      <c r="K42" s="35" t="inlineStr">
        <is>
          <t>ja</t>
        </is>
      </c>
      <c r="L42" s="35" t="inlineStr">
        <is>
          <t>Confirmed in search index on official domain (direct fetch blocked in sandbox). Updated 15 July 2026.</t>
        </is>
      </c>
    </row>
    <row r="43" ht="39.55" customHeight="1" s="31">
      <c r="B43" s="35" t="inlineStr">
        <is>
          <t>DR Congo</t>
        </is>
      </c>
      <c r="C43" s="35" t="inlineStr">
        <is>
          <t>GABAC</t>
        </is>
      </c>
      <c r="D43" s="35" t="inlineStr">
        <is>
          <t>Professional body</t>
        </is>
      </c>
      <c r="E43" s="35" t="inlineStr">
        <is>
          <t>Ordre National des Experts-Comptables (ONEC RDC)</t>
        </is>
      </c>
      <c r="F43" s="35" t="inlineStr">
        <is>
          <t>Loi créant l'ONEC (JO 19.02.2015)</t>
        </is>
      </c>
      <c r="G43" s="58" t="inlineStr">
        <is>
          <t>https://www.leganet.cd/Legislation/JO/2015/Numeros/JOS.19.02.2015.pdf</t>
        </is>
      </c>
      <c r="H43" s="35" t="inlineStr">
        <is>
          <t>PDF</t>
        </is>
      </c>
      <c r="I43" s="35" t="inlineStr">
        <is>
          <t>Founding law; ~347 active chartered accountants and 90 firms (2023); no public member list found</t>
        </is>
      </c>
      <c r="J43" s="35" t="inlineStr">
        <is>
          <t>FR</t>
        </is>
      </c>
      <c r="K43" s="35" t="inlineStr">
        <is>
          <t>ja</t>
        </is>
      </c>
      <c r="L43" s="35" t="inlineStr">
        <is>
          <t>Confirmed in search index on official domain (direct fetch blocked in sandbox). Official ONEC website not found.</t>
        </is>
      </c>
    </row>
    <row r="44" ht="52.2" customHeight="1" s="31">
      <c r="B44" s="35" t="inlineStr">
        <is>
          <t>Kenya</t>
        </is>
      </c>
      <c r="C44" s="35" t="inlineStr">
        <is>
          <t>ESAAMLG</t>
        </is>
      </c>
      <c r="D44" s="35" t="inlineStr">
        <is>
          <t>Banks</t>
        </is>
      </c>
      <c r="E44" s="35" t="inlineStr">
        <is>
          <t>Central Bank of Kenya</t>
        </is>
      </c>
      <c r="F44" s="35" t="inlineStr">
        <is>
          <t>Directory of Licenced Commercial Banks, Mortgage Finance Institutions and Authorised Non-Operating Bank Holding Companies</t>
        </is>
      </c>
      <c r="G44" s="58" t="inlineStr">
        <is>
          <t>https://www.centralbank.go.ke/wp-content/uploads/2026/07/Directory-of-Licenced-Commercial-Banks-Mortgage-Finance-Institutions-and-Authorised-Non-Operating-Bank-Holding-Companies.pdf</t>
        </is>
      </c>
      <c r="H44" s="35" t="inlineStr">
        <is>
          <t>PDF</t>
        </is>
      </c>
      <c r="I44" s="35" t="inlineStr">
        <is>
          <t>~38 commercial banks + mortgage finance cos + NOHCs with address, phone, email, website, peer group, branches</t>
        </is>
      </c>
      <c r="J44" s="35" t="inlineStr">
        <is>
          <t>EN</t>
        </is>
      </c>
      <c r="K44" s="35" t="inlineStr">
        <is>
          <t>ja</t>
        </is>
      </c>
      <c r="L44" s="35" t="inlineStr">
        <is>
          <t>Confirmed in search index on official domain (direct fetch blocked in sandbox). July 2026 upload. Contact details YES.</t>
        </is>
      </c>
    </row>
    <row r="45" ht="26.85" customHeight="1" s="31">
      <c r="B45" s="35" t="inlineStr">
        <is>
          <t>Kenya</t>
        </is>
      </c>
      <c r="C45" s="35" t="inlineStr">
        <is>
          <t>ESAAMLG</t>
        </is>
      </c>
      <c r="D45" s="35" t="inlineStr">
        <is>
          <t>Banks</t>
        </is>
      </c>
      <c r="E45" s="35" t="inlineStr">
        <is>
          <t>Central Bank of Kenya</t>
        </is>
      </c>
      <c r="F45" s="35" t="inlineStr">
        <is>
          <t>Bank Supervision (hub for all directories)</t>
        </is>
      </c>
      <c r="G45" s="58" t="inlineStr">
        <is>
          <t>https://www.centralbank.go.ke/bank-supervision/</t>
        </is>
      </c>
      <c r="H45" s="35" t="inlineStr">
        <is>
          <t>HTML</t>
        </is>
      </c>
      <c r="I45" s="35" t="inlineStr">
        <is>
          <t>Links to directories of banks, MFBs, forex bureaus, MRPs, CRBs, representative offices</t>
        </is>
      </c>
      <c r="J45" s="35" t="inlineStr">
        <is>
          <t>EN</t>
        </is>
      </c>
      <c r="K45" s="35" t="inlineStr">
        <is>
          <t>ja</t>
        </is>
      </c>
      <c r="L45" s="35" t="inlineStr">
        <is>
          <t>Confirmed in search index on official domain (direct fetch blocked in sandbox).</t>
        </is>
      </c>
    </row>
    <row r="46" ht="39.55" customHeight="1" s="31">
      <c r="B46" s="35" t="inlineStr">
        <is>
          <t>Kenya</t>
        </is>
      </c>
      <c r="C46" s="35" t="inlineStr">
        <is>
          <t>ESAAMLG</t>
        </is>
      </c>
      <c r="D46" s="35" t="inlineStr">
        <is>
          <t>Capital markets</t>
        </is>
      </c>
      <c r="E46" s="35" t="inlineStr">
        <is>
          <t>Capital Markets Authority</t>
        </is>
      </c>
      <c r="F46" s="35" t="inlineStr">
        <is>
          <t>List of licensees - Capital Markets Authority</t>
        </is>
      </c>
      <c r="G46" s="58" t="inlineStr">
        <is>
          <t>https://licensees.cma.or.ke/licenses/1/</t>
        </is>
      </c>
      <c r="H46" s="35" t="inlineStr">
        <is>
          <t>Search tool</t>
        </is>
      </c>
      <c r="I46" s="35" t="inlineStr">
        <is>
          <t>Licensees by category: stockbrokers, investment banks, fund managers (~43+), forex brokers, exchanges, etc.</t>
        </is>
      </c>
      <c r="J46" s="35" t="inlineStr">
        <is>
          <t>EN</t>
        </is>
      </c>
      <c r="K46" s="35" t="inlineStr">
        <is>
          <t>ja</t>
        </is>
      </c>
      <c r="L46" s="35" t="inlineStr">
        <is>
          <t>Confirmed in search index on official domain (direct fetch blocked in sandbox).</t>
        </is>
      </c>
    </row>
    <row r="47" ht="39.55" customHeight="1" s="31">
      <c r="B47" s="35" t="inlineStr">
        <is>
          <t>Kenya</t>
        </is>
      </c>
      <c r="C47" s="35" t="inlineStr">
        <is>
          <t>ESAAMLG</t>
        </is>
      </c>
      <c r="D47" s="35" t="inlineStr">
        <is>
          <t>FIU</t>
        </is>
      </c>
      <c r="E47" s="35" t="inlineStr">
        <is>
          <t>Financial Reporting Centre (FRC)</t>
        </is>
      </c>
      <c r="F47" s="35" t="inlineStr">
        <is>
          <t>Compliance - Financial Reporting Centre - Kenya</t>
        </is>
      </c>
      <c r="G47" s="58" t="inlineStr">
        <is>
          <t>https://www.frc.go.ke/?page_id=25</t>
        </is>
      </c>
      <c r="H47" s="35" t="inlineStr">
        <is>
          <t>HTML</t>
        </is>
      </c>
      <c r="I47" s="35" t="inlineStr">
        <is>
          <t>AML/CFT obligations, guidance, annual compliance report (ACR), goAML registration for reporting institutions</t>
        </is>
      </c>
      <c r="J47" s="35" t="inlineStr">
        <is>
          <t>EN</t>
        </is>
      </c>
      <c r="K47" s="35" t="inlineStr">
        <is>
          <t>ja</t>
        </is>
      </c>
      <c r="L47" s="35" t="inlineStr">
        <is>
          <t>Confirmed in search index on official domain (direct fetch blocked in sandbox). Homepage https://www.frc.go.ke/</t>
        </is>
      </c>
    </row>
    <row r="48" ht="39.55" customHeight="1" s="31">
      <c r="B48" s="35" t="inlineStr">
        <is>
          <t>Kenya</t>
        </is>
      </c>
      <c r="C48" s="35" t="inlineStr">
        <is>
          <t>ESAAMLG</t>
        </is>
      </c>
      <c r="D48" s="35" t="inlineStr">
        <is>
          <t>Forex/Money transfer</t>
        </is>
      </c>
      <c r="E48" s="35" t="inlineStr">
        <is>
          <t>Central Bank of Kenya</t>
        </is>
      </c>
      <c r="F48" s="35" t="inlineStr">
        <is>
          <t>Directory of Licenced Foreign Exchange Bureaus Feb 2026</t>
        </is>
      </c>
      <c r="G48" s="58" t="inlineStr">
        <is>
          <t>https://www.centralbank.go.ke/wp-content/uploads/2026/02/Directory-of-Licenced-Foreign-Exchange-Bureaus-Feb-2026.pdf</t>
        </is>
      </c>
      <c r="H48" s="35" t="inlineStr">
        <is>
          <t>PDF</t>
        </is>
      </c>
      <c r="I48" s="35" t="inlineStr">
        <is>
          <t>~88 forex bureaus with location, contacts, licence date</t>
        </is>
      </c>
      <c r="J48" s="35" t="inlineStr">
        <is>
          <t>EN</t>
        </is>
      </c>
      <c r="K48" s="35" t="inlineStr">
        <is>
          <t>ja</t>
        </is>
      </c>
      <c r="L48" s="35" t="inlineStr">
        <is>
          <t>Confirmed in search index on official domain (direct fetch blocked in sandbox). Contact details YES.</t>
        </is>
      </c>
    </row>
    <row r="49" ht="39.55" customHeight="1" s="31">
      <c r="B49" s="35" t="inlineStr">
        <is>
          <t>Kenya</t>
        </is>
      </c>
      <c r="C49" s="35" t="inlineStr">
        <is>
          <t>ESAAMLG</t>
        </is>
      </c>
      <c r="D49" s="35" t="inlineStr">
        <is>
          <t>Forex/Money transfer</t>
        </is>
      </c>
      <c r="E49" s="35" t="inlineStr">
        <is>
          <t>Central Bank of Kenya</t>
        </is>
      </c>
      <c r="F49" s="35" t="inlineStr">
        <is>
          <t>Directory of Licenced Money Remittance Providers (MRPs) Feb 2026</t>
        </is>
      </c>
      <c r="G49" s="58" t="inlineStr">
        <is>
          <t>https://www.centralbank.go.ke/wp-content/uploads/2026/02/Directory-of-Licenced-Money-Remittance-Providers-Feb-2026.pdf</t>
        </is>
      </c>
      <c r="H49" s="35" t="inlineStr">
        <is>
          <t>PDF</t>
        </is>
      </c>
      <c r="I49" s="35" t="inlineStr">
        <is>
          <t>Licensed money remittance providers with address, contacts, licence date</t>
        </is>
      </c>
      <c r="J49" s="35" t="inlineStr">
        <is>
          <t>EN</t>
        </is>
      </c>
      <c r="K49" s="35" t="inlineStr">
        <is>
          <t>ja</t>
        </is>
      </c>
      <c r="L49" s="35" t="inlineStr">
        <is>
          <t>Confirmed in search index on official domain (direct fetch blocked in sandbox). Contact details YES.</t>
        </is>
      </c>
    </row>
    <row r="50" ht="26.85" customHeight="1" s="31">
      <c r="B50" s="35" t="inlineStr">
        <is>
          <t>Kenya</t>
        </is>
      </c>
      <c r="C50" s="35" t="inlineStr">
        <is>
          <t>ESAAMLG</t>
        </is>
      </c>
      <c r="D50" s="35" t="inlineStr">
        <is>
          <t>Industry association</t>
        </is>
      </c>
      <c r="E50" s="35" t="inlineStr">
        <is>
          <t>Kenya Bankers Association</t>
        </is>
      </c>
      <c r="F50" s="35" t="inlineStr">
        <is>
          <t>KBA Members</t>
        </is>
      </c>
      <c r="G50" s="58" t="inlineStr">
        <is>
          <t>https://www.kba.co.ke/kba-members/</t>
        </is>
      </c>
      <c r="H50" s="35" t="inlineStr">
        <is>
          <t>HTML</t>
        </is>
      </c>
      <c r="I50" s="35" t="inlineStr">
        <is>
          <t>46-47 member banks/MFBs</t>
        </is>
      </c>
      <c r="J50" s="35" t="inlineStr">
        <is>
          <t>EN</t>
        </is>
      </c>
      <c r="K50" s="35" t="inlineStr">
        <is>
          <t>ja</t>
        </is>
      </c>
      <c r="L50" s="35" t="inlineStr">
        <is>
          <t>Confirmed in search index on official domain (direct fetch blocked in sandbox).</t>
        </is>
      </c>
    </row>
    <row r="51" ht="52.2" customHeight="1" s="31">
      <c r="B51" s="35" t="inlineStr">
        <is>
          <t>Kenya</t>
        </is>
      </c>
      <c r="C51" s="35" t="inlineStr">
        <is>
          <t>ESAAMLG</t>
        </is>
      </c>
      <c r="D51" s="35" t="inlineStr">
        <is>
          <t>Insurance</t>
        </is>
      </c>
      <c r="E51" s="35" t="inlineStr">
        <is>
          <t>Insurance Regulatory Authority</t>
        </is>
      </c>
      <c r="F51" s="35" t="inlineStr">
        <is>
          <t>List of Licensed Insurers 2025</t>
        </is>
      </c>
      <c r="G51" s="58" t="inlineStr">
        <is>
          <t>https://www.ira.go.ke/lib.html?f=ira-licensed-insurers-and-intermediaries-2025</t>
        </is>
      </c>
      <c r="H51" s="35" t="inlineStr">
        <is>
          <t>HTML</t>
        </is>
      </c>
      <c r="I51" s="35" t="inlineStr">
        <is>
          <t>Licensed insurers, reinsurers, brokers, bancassurance, loss assessors etc.</t>
        </is>
      </c>
      <c r="J51" s="35" t="inlineStr">
        <is>
          <t>EN</t>
        </is>
      </c>
      <c r="K51" s="35" t="inlineStr">
        <is>
          <t>ja</t>
        </is>
      </c>
      <c r="L51" s="35" t="inlineStr">
        <is>
          <t>Confirmed in search index on official domain (direct fetch blocked in sandbox). 2026 list gazetted 30 Apr 2026 (633 entities) - check IRA site for 2026 version.</t>
        </is>
      </c>
    </row>
    <row r="52" ht="39.55" customHeight="1" s="31">
      <c r="B52" s="35" t="inlineStr">
        <is>
          <t>Kenya</t>
        </is>
      </c>
      <c r="C52" s="35" t="inlineStr">
        <is>
          <t>ESAAMLG</t>
        </is>
      </c>
      <c r="D52" s="35" t="inlineStr">
        <is>
          <t>Microfinance</t>
        </is>
      </c>
      <c r="E52" s="35" t="inlineStr">
        <is>
          <t>Central Bank of Kenya</t>
        </is>
      </c>
      <c r="F52" s="35" t="inlineStr">
        <is>
          <t>Directory of Licenced Microfinance Banks Feb 2026</t>
        </is>
      </c>
      <c r="G52" s="58" t="inlineStr">
        <is>
          <t>https://www.centralbank.go.ke/wp-content/uploads/2026/02/Directory-of-Licenced-Microfinance-Banks-Feb-2026.pdf</t>
        </is>
      </c>
      <c r="H52" s="35" t="inlineStr">
        <is>
          <t>PDF</t>
        </is>
      </c>
      <c r="I52" s="35" t="inlineStr">
        <is>
          <t>~14 microfinance banks with contacts</t>
        </is>
      </c>
      <c r="J52" s="35" t="inlineStr">
        <is>
          <t>EN</t>
        </is>
      </c>
      <c r="K52" s="35" t="inlineStr">
        <is>
          <t>ja</t>
        </is>
      </c>
      <c r="L52" s="35" t="inlineStr">
        <is>
          <t>Confirmed in search index on official domain (direct fetch blocked in sandbox). Contact details YES.</t>
        </is>
      </c>
    </row>
    <row r="53" ht="52.2" customHeight="1" s="31">
      <c r="B53" s="35" t="inlineStr">
        <is>
          <t>Kenya</t>
        </is>
      </c>
      <c r="C53" s="35" t="inlineStr">
        <is>
          <t>ESAAMLG</t>
        </is>
      </c>
      <c r="D53" s="35" t="inlineStr">
        <is>
          <t>Microfinance</t>
        </is>
      </c>
      <c r="E53" s="35" t="inlineStr">
        <is>
          <t>SASRA (Sacco Societies Regulatory Authority)</t>
        </is>
      </c>
      <c r="F53" s="35" t="inlineStr">
        <is>
          <t>List of Licensed and Authorized Sacco Societies in Kenya for FY ending 31 Dec 2026</t>
        </is>
      </c>
      <c r="G53" s="58" t="inlineStr">
        <is>
          <t>https://www.sasra.go.ke/download/list-of-licensed-and-authorized-sacco-societies-in-kenya-for-the-financial-year-ending-31st-december-2026/</t>
        </is>
      </c>
      <c r="H53" s="35" t="inlineStr">
        <is>
          <t>PDF</t>
        </is>
      </c>
      <c r="I53" s="35" t="inlineStr">
        <is>
          <t>~176 deposit-taking SACCOs + ~177 non-withdrawable DT SACCOs; restricted/revoked schedules</t>
        </is>
      </c>
      <c r="J53" s="35" t="inlineStr">
        <is>
          <t>EN</t>
        </is>
      </c>
      <c r="K53" s="35" t="inlineStr">
        <is>
          <t>ja</t>
        </is>
      </c>
      <c r="L53" s="35" t="inlineStr">
        <is>
          <t>Confirmed in search index on official domain (direct fetch blocked in sandbox). Large training market (SACCOs are reporting institutions).</t>
        </is>
      </c>
    </row>
    <row r="54" ht="39.55" customHeight="1" s="31">
      <c r="B54" s="35" t="inlineStr">
        <is>
          <t>Kenya</t>
        </is>
      </c>
      <c r="C54" s="35" t="inlineStr">
        <is>
          <t>ESAAMLG</t>
        </is>
      </c>
      <c r="D54" s="35" t="inlineStr">
        <is>
          <t>Payments/E-money</t>
        </is>
      </c>
      <c r="E54" s="35" t="inlineStr">
        <is>
          <t>Central Bank of Kenya</t>
        </is>
      </c>
      <c r="F54" s="35" t="inlineStr">
        <is>
          <t>Directory of Authorized Payment Service Providers (15 May 2026)</t>
        </is>
      </c>
      <c r="G54" s="58" t="inlineStr">
        <is>
          <t>https://www.centralbank.go.ke/wp-content/uploads/2026/06/Directory-of-Authorized-Payment-Service-Providers-15th-May-2026.pdf</t>
        </is>
      </c>
      <c r="H54" s="35" t="inlineStr">
        <is>
          <t>PDF</t>
        </is>
      </c>
      <c r="I54" s="35" t="inlineStr">
        <is>
          <t>Authorised PSPs incl. Safaricom M-Pesa, Airtel Money, Cellulant, Pesapal, Paystack with services authorised</t>
        </is>
      </c>
      <c r="J54" s="35" t="inlineStr">
        <is>
          <t>EN</t>
        </is>
      </c>
      <c r="K54" s="35" t="inlineStr">
        <is>
          <t>ja</t>
        </is>
      </c>
      <c r="L54" s="35" t="inlineStr">
        <is>
          <t>Confirmed in search index on official domain (direct fetch blocked in sandbox).</t>
        </is>
      </c>
    </row>
    <row r="55" ht="39.55" customHeight="1" s="31">
      <c r="B55" s="35" t="inlineStr">
        <is>
          <t>Kenya</t>
        </is>
      </c>
      <c r="C55" s="35" t="inlineStr">
        <is>
          <t>ESAAMLG</t>
        </is>
      </c>
      <c r="D55" s="35" t="inlineStr">
        <is>
          <t>Professional body</t>
        </is>
      </c>
      <c r="E55" s="35" t="inlineStr">
        <is>
          <t>ICPAK</t>
        </is>
      </c>
      <c r="F55" s="35" t="inlineStr">
        <is>
          <t>CPA directory (licensed firms list)</t>
        </is>
      </c>
      <c r="G55" s="58" t="inlineStr">
        <is>
          <t>https://old.icpak.com/cpa-directory</t>
        </is>
      </c>
      <c r="H55" s="35" t="inlineStr">
        <is>
          <t>HTML</t>
        </is>
      </c>
      <c r="I55" s="35" t="inlineStr">
        <is>
          <t>Licensed audit/accountancy firms and practising members (annual list download)</t>
        </is>
      </c>
      <c r="J55" s="35" t="inlineStr">
        <is>
          <t>EN</t>
        </is>
      </c>
      <c r="K55" s="35" t="inlineStr">
        <is>
          <t>ja</t>
        </is>
      </c>
      <c r="L55" s="35" t="inlineStr">
        <is>
          <t>Confirmed in search index on official domain (direct fetch blocked in sandbox). Old site; list may be 2024.</t>
        </is>
      </c>
    </row>
    <row r="56" ht="26.85" customHeight="1" s="31">
      <c r="B56" s="35" t="inlineStr">
        <is>
          <t>Kenya</t>
        </is>
      </c>
      <c r="C56" s="35" t="inlineStr">
        <is>
          <t>ESAAMLG</t>
        </is>
      </c>
      <c r="D56" s="35" t="inlineStr">
        <is>
          <t>Professional body</t>
        </is>
      </c>
      <c r="E56" s="35" t="inlineStr">
        <is>
          <t>Law Society of Kenya</t>
        </is>
      </c>
      <c r="F56" s="35" t="inlineStr">
        <is>
          <t>LSK online advocate search</t>
        </is>
      </c>
      <c r="G56" s="58" t="inlineStr">
        <is>
          <t>https://online.lsk.or.ke</t>
        </is>
      </c>
      <c r="H56" s="35" t="inlineStr">
        <is>
          <t>Search tool</t>
        </is>
      </c>
      <c r="I56" s="35" t="inlineStr">
        <is>
          <t>Advocates with active/inactive practising certificate status</t>
        </is>
      </c>
      <c r="J56" s="35" t="inlineStr">
        <is>
          <t>EN</t>
        </is>
      </c>
      <c r="K56" s="35" t="inlineStr">
        <is>
          <t>nein</t>
        </is>
      </c>
      <c r="L56" s="35" t="inlineStr">
        <is>
          <t>Portal cited by The Star/Nation; not directly confirmed in search index.</t>
        </is>
      </c>
    </row>
    <row r="57" ht="52.2" customHeight="1" s="31">
      <c r="B57" s="35" t="inlineStr">
        <is>
          <t>Kenya</t>
        </is>
      </c>
      <c r="C57" s="35" t="inlineStr">
        <is>
          <t>ESAAMLG</t>
        </is>
      </c>
      <c r="D57" s="35" t="inlineStr">
        <is>
          <t>VASP</t>
        </is>
      </c>
      <c r="E57" s="35" t="inlineStr">
        <is>
          <t>Central Bank of Kenya / CMA</t>
        </is>
      </c>
      <c r="F57" s="35" t="inlineStr">
        <is>
          <t>Public Notice on the Virtual Assets Service Providers Act 2025</t>
        </is>
      </c>
      <c r="G57" s="58" t="inlineStr">
        <is>
          <t>https://www.centralbank.go.ke/uploads/press_releases/665231223_Public%20Notice%20on%20the%20Virtual%20Assets%20Service%20Providers%20Act%202025.pdf</t>
        </is>
      </c>
      <c r="H57" s="35" t="inlineStr">
        <is>
          <t>PDF</t>
        </is>
      </c>
      <c r="I57" s="35" t="inlineStr">
        <is>
          <t>No VASP register yet - notice confirms none licensed pending Treasury regulations</t>
        </is>
      </c>
      <c r="J57" s="35" t="inlineStr">
        <is>
          <t>EN</t>
        </is>
      </c>
      <c r="K57" s="35" t="inlineStr">
        <is>
          <t>ja</t>
        </is>
      </c>
      <c r="L57" s="35" t="inlineStr">
        <is>
          <t>Confirmed in search index on official domain (direct fetch blocked in sandbox). VASP Act 2025 in force 4 Nov 2025; watch for register.</t>
        </is>
      </c>
    </row>
    <row r="58" ht="39.55" customHeight="1" s="31">
      <c r="B58" s="35" t="inlineStr">
        <is>
          <t>Nigeria</t>
        </is>
      </c>
      <c r="C58" s="35" t="inlineStr">
        <is>
          <t>GIABA</t>
        </is>
      </c>
      <c r="D58" s="35" t="inlineStr">
        <is>
          <t>Banks</t>
        </is>
      </c>
      <c r="E58" s="35" t="inlineStr">
        <is>
          <t>Central Bank of Nigeria</t>
        </is>
      </c>
      <c r="F58" s="35" t="inlineStr">
        <is>
          <t>Financial Institutions | Central Bank of Nigeria</t>
        </is>
      </c>
      <c r="G58" s="58" t="inlineStr">
        <is>
          <t>https://www.cbn.gov.ng/supervision/finstitutions.html</t>
        </is>
      </c>
      <c r="H58" s="35" t="inlineStr">
        <is>
          <t>HTML</t>
        </is>
      </c>
      <c r="I58" s="35" t="inlineStr">
        <is>
          <t>Hub of CBN institution lists: commercial/merchant/non-interest banks, MFBs, PMBs, finance cos, BDCs, PSBs, MMOs</t>
        </is>
      </c>
      <c r="J58" s="35" t="inlineStr">
        <is>
          <t>EN</t>
        </is>
      </c>
      <c r="K58" s="35" t="inlineStr">
        <is>
          <t>ja</t>
        </is>
      </c>
      <c r="L58" s="35" t="inlineStr">
        <is>
          <t>Confirmed in search index on official domain (direct fetch blocked in sandbox).</t>
        </is>
      </c>
    </row>
    <row r="59" ht="52.2" customHeight="1" s="31">
      <c r="B59" s="35" t="inlineStr">
        <is>
          <t>Nigeria</t>
        </is>
      </c>
      <c r="C59" s="35" t="inlineStr">
        <is>
          <t>GIABA</t>
        </is>
      </c>
      <c r="D59" s="35" t="inlineStr">
        <is>
          <t>Banks</t>
        </is>
      </c>
      <c r="E59" s="35" t="inlineStr">
        <is>
          <t>Central Bank of Nigeria</t>
        </is>
      </c>
      <c r="F59" s="35" t="inlineStr">
        <is>
          <t>List of Deposit Money Banks as at 26 April 2024</t>
        </is>
      </c>
      <c r="G59" s="58" t="inlineStr">
        <is>
          <t>https://www.cbn.gov.ng/Out/2024/CCD/LIST%20OF%20DEPOSIT%20MONEY%20BANKS%20AS%20AT%2026TH%20APRIL,%202024%20(1).pdf</t>
        </is>
      </c>
      <c r="H59" s="35" t="inlineStr">
        <is>
          <t>PDF</t>
        </is>
      </c>
      <c r="I59" s="35" t="inlineStr">
        <is>
          <t>Commercial, merchant and non-interest banks</t>
        </is>
      </c>
      <c r="J59" s="35" t="inlineStr">
        <is>
          <t>EN</t>
        </is>
      </c>
      <c r="K59" s="35" t="inlineStr">
        <is>
          <t>ja</t>
        </is>
      </c>
      <c r="L59" s="35" t="inlineStr">
        <is>
          <t>Confirmed in search index on official domain (direct fetch blocked in sandbox). Newer lists may be on the hub post-recapitalisation.</t>
        </is>
      </c>
    </row>
    <row r="60" ht="26.85" customHeight="1" s="31">
      <c r="B60" s="35" t="inlineStr">
        <is>
          <t>Nigeria</t>
        </is>
      </c>
      <c r="C60" s="35" t="inlineStr">
        <is>
          <t>GIABA</t>
        </is>
      </c>
      <c r="D60" s="35" t="inlineStr">
        <is>
          <t>Capital markets</t>
        </is>
      </c>
      <c r="E60" s="35" t="inlineStr">
        <is>
          <t>Securities and Exchange Commission Nigeria</t>
        </is>
      </c>
      <c r="F60" s="35" t="inlineStr">
        <is>
          <t>SEC Nigeria website (registered capital market operators)</t>
        </is>
      </c>
      <c r="G60" s="58" t="inlineStr">
        <is>
          <t>https://sec.gov.ng/</t>
        </is>
      </c>
      <c r="H60" s="35" t="inlineStr">
        <is>
          <t>HTML</t>
        </is>
      </c>
      <c r="I60" s="35" t="inlineStr">
        <is>
          <t>Registered CMOs (brokers, dealers, fund managers)</t>
        </is>
      </c>
      <c r="J60" s="35" t="inlineStr">
        <is>
          <t>EN</t>
        </is>
      </c>
      <c r="K60" s="35" t="inlineStr">
        <is>
          <t>nein</t>
        </is>
      </c>
      <c r="L60" s="35" t="inlineStr">
        <is>
          <t>Domain verified; specific CMO register URL not confirmed in search.</t>
        </is>
      </c>
    </row>
    <row r="61" ht="26.85" customHeight="1" s="31">
      <c r="B61" s="35" t="inlineStr">
        <is>
          <t>Nigeria</t>
        </is>
      </c>
      <c r="C61" s="35" t="inlineStr">
        <is>
          <t>GIABA</t>
        </is>
      </c>
      <c r="D61" s="35" t="inlineStr">
        <is>
          <t>FIU</t>
        </is>
      </c>
      <c r="E61" s="35" t="inlineStr">
        <is>
          <t>Nigerian Financial Intelligence Unit</t>
        </is>
      </c>
      <c r="F61" s="35" t="inlineStr">
        <is>
          <t>About NFIU</t>
        </is>
      </c>
      <c r="G61" s="58" t="inlineStr">
        <is>
          <t>https://www.nfiu.gov.ng/index.php/nfiu</t>
        </is>
      </c>
      <c r="H61" s="35" t="inlineStr">
        <is>
          <t>HTML</t>
        </is>
      </c>
      <c r="I61" s="35" t="inlineStr">
        <is>
          <t>FIU; guidelines/advisories for reporting entities, goAML</t>
        </is>
      </c>
      <c r="J61" s="35" t="inlineStr">
        <is>
          <t>EN</t>
        </is>
      </c>
      <c r="K61" s="35" t="inlineStr">
        <is>
          <t>ja</t>
        </is>
      </c>
      <c r="L61" s="35" t="inlineStr">
        <is>
          <t>Confirmed in search index on official domain (direct fetch blocked in sandbox).</t>
        </is>
      </c>
    </row>
    <row r="62" ht="52.2" customHeight="1" s="31">
      <c r="B62" s="35" t="inlineStr">
        <is>
          <t>Nigeria</t>
        </is>
      </c>
      <c r="C62" s="35" t="inlineStr">
        <is>
          <t>GIABA</t>
        </is>
      </c>
      <c r="D62" s="35" t="inlineStr">
        <is>
          <t>FIU</t>
        </is>
      </c>
      <c r="E62" s="35" t="inlineStr">
        <is>
          <t>SCUML (EFCC)</t>
        </is>
      </c>
      <c r="F62" s="35" t="inlineStr">
        <is>
          <t>Special Control Unit against Money Laundering</t>
        </is>
      </c>
      <c r="G62" s="58" t="inlineStr">
        <is>
          <t>https://scuml.efcc.gov.ng/</t>
        </is>
      </c>
      <c r="H62" s="35" t="inlineStr">
        <is>
          <t>HTML</t>
        </is>
      </c>
      <c r="I62" s="35" t="inlineStr">
        <is>
          <t>DNFBP registration/supervision (lawyers, accountants, real estate, dealers) - CTR/CBTR portal</t>
        </is>
      </c>
      <c r="J62" s="35" t="inlineStr">
        <is>
          <t>EN</t>
        </is>
      </c>
      <c r="K62" s="35" t="inlineStr">
        <is>
          <t>ja</t>
        </is>
      </c>
      <c r="L62" s="35" t="inlineStr">
        <is>
          <t>Confirmed in search index on official domain (direct fetch blocked in sandbox). DNFBP supervisor - relevant for professional firms.</t>
        </is>
      </c>
    </row>
    <row r="63" ht="64.90000000000001" customHeight="1" s="31">
      <c r="B63" s="35" t="inlineStr">
        <is>
          <t>Nigeria</t>
        </is>
      </c>
      <c r="C63" s="35" t="inlineStr">
        <is>
          <t>GIABA</t>
        </is>
      </c>
      <c r="D63" s="35" t="inlineStr">
        <is>
          <t>Forex/Money transfer</t>
        </is>
      </c>
      <c r="E63" s="35" t="inlineStr">
        <is>
          <t>Central Bank of Nigeria</t>
        </is>
      </c>
      <c r="F63" s="35" t="inlineStr">
        <is>
          <t>List of CBN Licenced Bureaux de Change as at December 31, 2021</t>
        </is>
      </c>
      <c r="G63" s="58" t="inlineStr">
        <is>
          <t>https://www.cbn.gov.ng/Out/2022/FPRD/LIST%20OF%20CBN%20LICENCED%20BUREAUX%20DE%20CHANGE%20AS%20AT%20DECEMBER%2031,%202021.pdf</t>
        </is>
      </c>
      <c r="H63" s="35" t="inlineStr">
        <is>
          <t>PDF</t>
        </is>
      </c>
      <c r="I63" s="35" t="inlineStr">
        <is>
          <t>Historic BDC list (thousands) - superseded</t>
        </is>
      </c>
      <c r="J63" s="35" t="inlineStr">
        <is>
          <t>EN</t>
        </is>
      </c>
      <c r="K63" s="35" t="inlineStr">
        <is>
          <t>ja</t>
        </is>
      </c>
      <c r="L63" s="35" t="inlineStr">
        <is>
          <t>Confirmed in search index on official domain (direct fetch blocked in sandbox). Current regime: 82 BDCs granted final licences Nov 2025 (list on CBN site per press; PDF URL not confirmed).</t>
        </is>
      </c>
    </row>
    <row r="64" ht="26.85" customHeight="1" s="31">
      <c r="B64" s="35" t="inlineStr">
        <is>
          <t>Nigeria</t>
        </is>
      </c>
      <c r="C64" s="35" t="inlineStr">
        <is>
          <t>GIABA</t>
        </is>
      </c>
      <c r="D64" s="35" t="inlineStr">
        <is>
          <t>Industry association</t>
        </is>
      </c>
      <c r="E64" s="35" t="inlineStr">
        <is>
          <t>Chartered Institute of Bankers of Nigeria</t>
        </is>
      </c>
      <c r="F64" s="35" t="inlineStr">
        <is>
          <t>CIBN - overview membership</t>
        </is>
      </c>
      <c r="G64" s="58" t="inlineStr">
        <is>
          <t>https://www.cibng.org/overview-membership/</t>
        </is>
      </c>
      <c r="H64" s="35" t="inlineStr">
        <is>
          <t>HTML</t>
        </is>
      </c>
      <c r="I64" s="35" t="inlineStr">
        <is>
          <t>Bankers' professional body (CPD duties); Bankers' Committee itself has no public roster</t>
        </is>
      </c>
      <c r="J64" s="35" t="inlineStr">
        <is>
          <t>EN</t>
        </is>
      </c>
      <c r="K64" s="35" t="inlineStr">
        <is>
          <t>ja</t>
        </is>
      </c>
      <c r="L64" s="35" t="inlineStr">
        <is>
          <t>Confirmed in search index on official domain (direct fetch blocked in sandbox).</t>
        </is>
      </c>
    </row>
    <row r="65" ht="52.2" customHeight="1" s="31">
      <c r="B65" s="35" t="inlineStr">
        <is>
          <t>Nigeria</t>
        </is>
      </c>
      <c r="C65" s="35" t="inlineStr">
        <is>
          <t>GIABA</t>
        </is>
      </c>
      <c r="D65" s="35" t="inlineStr">
        <is>
          <t>Insurance</t>
        </is>
      </c>
      <c r="E65" s="35" t="inlineStr">
        <is>
          <t>NAICOM</t>
        </is>
      </c>
      <c r="F65" s="35" t="inlineStr">
        <is>
          <t>Insurance Operators - NAICOM</t>
        </is>
      </c>
      <c r="G65" s="58" t="inlineStr">
        <is>
          <t>https://naicom.gov.ng/insurance-operators/</t>
        </is>
      </c>
      <c r="H65" s="35" t="inlineStr">
        <is>
          <t>HTML</t>
        </is>
      </c>
      <c r="I65" s="35" t="inlineStr">
        <is>
          <t>Hub: composite, general (28), life (12), reinsurance, takaful, micro-insurance (18), brokers, loss adjusters with address/website/licence no.</t>
        </is>
      </c>
      <c r="J65" s="35" t="inlineStr">
        <is>
          <t>EN</t>
        </is>
      </c>
      <c r="K65" s="35" t="inlineStr">
        <is>
          <t>ja</t>
        </is>
      </c>
      <c r="L65" s="35" t="inlineStr">
        <is>
          <t>Confirmed in search index on official domain (direct fetch blocked in sandbox).</t>
        </is>
      </c>
    </row>
    <row r="66" ht="39.55" customHeight="1" s="31">
      <c r="B66" s="35" t="inlineStr">
        <is>
          <t>Nigeria</t>
        </is>
      </c>
      <c r="C66" s="35" t="inlineStr">
        <is>
          <t>GIABA</t>
        </is>
      </c>
      <c r="D66" s="35" t="inlineStr">
        <is>
          <t>Insurance</t>
        </is>
      </c>
      <c r="E66" s="35" t="inlineStr">
        <is>
          <t>NAICOM</t>
        </is>
      </c>
      <c r="F66" s="35" t="inlineStr">
        <is>
          <t>List of Insurance Companies that Complied with the MCR prescribed by NIIRA 2025</t>
        </is>
      </c>
      <c r="G66" s="58" t="inlineStr">
        <is>
          <t>https://naicom.gov.ng/wp-content/uploads/2026/08/List-of-Insurance-Companies-that-Complied-with-the-MCR-Prescribed-by-NIIRA-2025.pdf</t>
        </is>
      </c>
      <c r="H66" s="35" t="inlineStr">
        <is>
          <t>PDF</t>
        </is>
      </c>
      <c r="I66" s="35" t="inlineStr">
        <is>
          <t>48 insurers + 2 reinsurers verified compliant with new minimum capital (Aug 2026)</t>
        </is>
      </c>
      <c r="J66" s="35" t="inlineStr">
        <is>
          <t>EN</t>
        </is>
      </c>
      <c r="K66" s="35" t="inlineStr">
        <is>
          <t>ja</t>
        </is>
      </c>
      <c r="L66" s="35" t="inlineStr">
        <is>
          <t>Confirmed in search index on official domain (direct fetch blocked in sandbox). Most current insurer list.</t>
        </is>
      </c>
    </row>
    <row r="67" ht="52.2" customHeight="1" s="31">
      <c r="B67" s="35" t="inlineStr">
        <is>
          <t>Nigeria</t>
        </is>
      </c>
      <c r="C67" s="35" t="inlineStr">
        <is>
          <t>GIABA</t>
        </is>
      </c>
      <c r="D67" s="35" t="inlineStr">
        <is>
          <t>Microfinance</t>
        </is>
      </c>
      <c r="E67" s="35" t="inlineStr">
        <is>
          <t>Central Bank of Nigeria</t>
        </is>
      </c>
      <c r="F67" s="35" t="inlineStr">
        <is>
          <t>List of Microfinance Banks as at December 31, 2021</t>
        </is>
      </c>
      <c r="G67" s="58" t="inlineStr">
        <is>
          <t>https://www.cbn.gov.ng/Out/2022/FPRD/List%20of%20Microfinance%20Banks%20as%20at%20December%2031,%202021.pdf</t>
        </is>
      </c>
      <c r="H67" s="35" t="inlineStr">
        <is>
          <t>PDF</t>
        </is>
      </c>
      <c r="I67" s="35" t="inlineStr">
        <is>
          <t>~900 MFBs with address, state, tier</t>
        </is>
      </c>
      <c r="J67" s="35" t="inlineStr">
        <is>
          <t>EN</t>
        </is>
      </c>
      <c r="K67" s="35" t="inlineStr">
        <is>
          <t>ja</t>
        </is>
      </c>
      <c r="L67" s="35" t="inlineStr">
        <is>
          <t>Confirmed in search index on official domain (direct fetch blocked in sandbox). Most recent named MFB list found is 2021.</t>
        </is>
      </c>
    </row>
    <row r="68" ht="39.55" customHeight="1" s="31">
      <c r="B68" s="35" t="inlineStr">
        <is>
          <t>Nigeria</t>
        </is>
      </c>
      <c r="C68" s="35" t="inlineStr">
        <is>
          <t>GIABA</t>
        </is>
      </c>
      <c r="D68" s="35" t="inlineStr">
        <is>
          <t>Payments/E-money</t>
        </is>
      </c>
      <c r="E68" s="35" t="inlineStr">
        <is>
          <t>Central Bank of Nigeria</t>
        </is>
      </c>
      <c r="F68" s="35" t="inlineStr">
        <is>
          <t>Payment Service Providers</t>
        </is>
      </c>
      <c r="G68" s="58" t="inlineStr">
        <is>
          <t>https://www.cbn.gov.ng/PaymentsSystem/PSPs.html</t>
        </is>
      </c>
      <c r="H68" s="35" t="inlineStr">
        <is>
          <t>HTML</t>
        </is>
      </c>
      <c r="I68" s="35" t="inlineStr">
        <is>
          <t>Licensed MMOs (Opay, PalmPay...), switching/processing (Interswitch, Flutterwave, Paystack), PSSPs (100+)</t>
        </is>
      </c>
      <c r="J68" s="35" t="inlineStr">
        <is>
          <t>EN</t>
        </is>
      </c>
      <c r="K68" s="35" t="inlineStr">
        <is>
          <t>ja</t>
        </is>
      </c>
      <c r="L68" s="35" t="inlineStr">
        <is>
          <t>Confirmed in search index on official domain (direct fetch blocked in sandbox).</t>
        </is>
      </c>
    </row>
    <row r="69" ht="26.85" customHeight="1" s="31">
      <c r="B69" s="35" t="inlineStr">
        <is>
          <t>Nigeria</t>
        </is>
      </c>
      <c r="C69" s="35" t="inlineStr">
        <is>
          <t>GIABA</t>
        </is>
      </c>
      <c r="D69" s="35" t="inlineStr">
        <is>
          <t>Payments/E-money</t>
        </is>
      </c>
      <c r="E69" s="35" t="inlineStr">
        <is>
          <t>Central Bank of Nigeria</t>
        </is>
      </c>
      <c r="F69" s="35" t="inlineStr">
        <is>
          <t>Inst PSB (Payment Service Banks)</t>
        </is>
      </c>
      <c r="G69" s="58" t="inlineStr">
        <is>
          <t>https://www.cbn.gov.ng/Supervision/Inst-PSB.asp</t>
        </is>
      </c>
      <c r="H69" s="35" t="inlineStr">
        <is>
          <t>HTML</t>
        </is>
      </c>
      <c r="I69" s="35" t="inlineStr">
        <is>
          <t>Payment service banks: 9PSB, Hope PSB, MoMo PSB, Moneymaster PSB</t>
        </is>
      </c>
      <c r="J69" s="35" t="inlineStr">
        <is>
          <t>EN</t>
        </is>
      </c>
      <c r="K69" s="35" t="inlineStr">
        <is>
          <t>ja</t>
        </is>
      </c>
      <c r="L69" s="35" t="inlineStr">
        <is>
          <t>Confirmed in search index on official domain (direct fetch blocked in sandbox).</t>
        </is>
      </c>
    </row>
    <row r="70" ht="39.55" customHeight="1" s="31">
      <c r="B70" s="35" t="inlineStr">
        <is>
          <t>Nigeria</t>
        </is>
      </c>
      <c r="C70" s="35" t="inlineStr">
        <is>
          <t>GIABA</t>
        </is>
      </c>
      <c r="D70" s="35" t="inlineStr">
        <is>
          <t>Professional body</t>
        </is>
      </c>
      <c r="E70" s="35" t="inlineStr">
        <is>
          <t>Nigerian Bar Association</t>
        </is>
      </c>
      <c r="F70" s="35" t="inlineStr">
        <is>
          <t>NBA Find a Lawyer</t>
        </is>
      </c>
      <c r="G70" s="58" t="inlineStr">
        <is>
          <t>https://nigerianbar.org.ng/find-lawyer</t>
        </is>
      </c>
      <c r="H70" s="35" t="inlineStr">
        <is>
          <t>Search tool</t>
        </is>
      </c>
      <c r="I70" s="35" t="inlineStr">
        <is>
          <t>Search lawyers by name/enrolment no.; NBA-SLP National Law Firms Directory (800+ firms) also launched 2026</t>
        </is>
      </c>
      <c r="J70" s="35" t="inlineStr">
        <is>
          <t>EN</t>
        </is>
      </c>
      <c r="K70" s="35" t="inlineStr">
        <is>
          <t>nein</t>
        </is>
      </c>
      <c r="L70" s="35" t="inlineStr">
        <is>
          <t>URL from news report; NBA blog domain confirmed.</t>
        </is>
      </c>
    </row>
    <row r="71" ht="26.85" customHeight="1" s="31">
      <c r="B71" s="35" t="inlineStr">
        <is>
          <t>Nigeria</t>
        </is>
      </c>
      <c r="C71" s="35" t="inlineStr">
        <is>
          <t>GIABA</t>
        </is>
      </c>
      <c r="D71" s="35" t="inlineStr">
        <is>
          <t>Professional body</t>
        </is>
      </c>
      <c r="E71" s="35" t="inlineStr">
        <is>
          <t>Institute of Chartered Accountants of Nigeria</t>
        </is>
      </c>
      <c r="F71" s="35" t="inlineStr">
        <is>
          <t>ICAN website</t>
        </is>
      </c>
      <c r="G71" s="58" t="inlineStr">
        <is>
          <t>https://icanig.org</t>
        </is>
      </c>
      <c r="H71" s="35" t="inlineStr">
        <is>
          <t>HTML</t>
        </is>
      </c>
      <c r="I71" s="35" t="inlineStr">
        <is>
          <t>Member register (not publicly searchable confirmed)</t>
        </is>
      </c>
      <c r="J71" s="35" t="inlineStr">
        <is>
          <t>EN</t>
        </is>
      </c>
      <c r="K71" s="35" t="inlineStr">
        <is>
          <t>nein</t>
        </is>
      </c>
      <c r="L71" s="35" t="inlineStr">
        <is>
          <t>Domain inferred from ICAN voter-list hosting; not confirmed.</t>
        </is>
      </c>
    </row>
    <row r="72" ht="52.2" customHeight="1" s="31">
      <c r="B72" s="35" t="inlineStr">
        <is>
          <t>Nigeria</t>
        </is>
      </c>
      <c r="C72" s="35" t="inlineStr">
        <is>
          <t>GIABA</t>
        </is>
      </c>
      <c r="D72" s="35" t="inlineStr">
        <is>
          <t>VASP</t>
        </is>
      </c>
      <c r="E72" s="35" t="inlineStr">
        <is>
          <t>Securities and Exchange Commission Nigeria</t>
        </is>
      </c>
      <c r="F72" s="35" t="inlineStr">
        <is>
          <t>Registered FinTech Operators (RI and ARIP)</t>
        </is>
      </c>
      <c r="G72" s="58" t="inlineStr">
        <is>
          <t>https://www.sec.gov.ng/fintech-and-innovation-hub-finport/registered-fintech-operators/</t>
        </is>
      </c>
      <c r="H72" s="35" t="inlineStr">
        <is>
          <t>HTML</t>
        </is>
      </c>
      <c r="I72" s="35" t="inlineStr">
        <is>
          <t>Digital-asset exchanges/VASPs admitted to ARIP (Busha, Quidax, Luno, KuCoin Nigeria, etc.)</t>
        </is>
      </c>
      <c r="J72" s="35" t="inlineStr">
        <is>
          <t>EN</t>
        </is>
      </c>
      <c r="K72" s="35" t="inlineStr">
        <is>
          <t>ja</t>
        </is>
      </c>
      <c r="L72" s="35" t="inlineStr">
        <is>
          <t>Confirmed in search index on official domain (direct fetch blocked in sandbox). ARIP = approval-in-principle, not full registration.</t>
        </is>
      </c>
    </row>
    <row r="73" ht="26.85" customHeight="1" s="31">
      <c r="B73" s="35" t="inlineStr">
        <is>
          <t>Côte d'Ivoire</t>
        </is>
      </c>
      <c r="C73" s="35" t="inlineStr">
        <is>
          <t>BCEAO</t>
        </is>
      </c>
      <c r="D73" s="35" t="inlineStr">
        <is>
          <t>Banks</t>
        </is>
      </c>
      <c r="E73" s="35" t="inlineStr">
        <is>
          <t>Commission Bancaire de l'UMOA</t>
        </is>
      </c>
      <c r="F73" s="35" t="inlineStr">
        <is>
          <t>Liste Côte d'Ivoire 2025</t>
        </is>
      </c>
      <c r="G73" s="58" t="inlineStr">
        <is>
          <t>https://www.cb-umoa.org/sites/default/files/Liste%20C%C3%B4te%20d'Ivoire%202025.pdf</t>
        </is>
      </c>
      <c r="H73" s="35" t="inlineStr">
        <is>
          <t>PDF</t>
        </is>
      </c>
      <c r="I73" s="35" t="inlineStr">
        <is>
          <t>33 credit institutions licensed in CI</t>
        </is>
      </c>
      <c r="J73" s="35" t="inlineStr">
        <is>
          <t>FR</t>
        </is>
      </c>
      <c r="K73" s="35" t="inlineStr">
        <is>
          <t>ja</t>
        </is>
      </c>
      <c r="L73" s="35" t="inlineStr">
        <is>
          <t>Confirmed in search index on official domain (direct fetch blocked in sandbox).</t>
        </is>
      </c>
    </row>
    <row r="74" ht="26.85" customHeight="1" s="31">
      <c r="B74" s="35" t="inlineStr">
        <is>
          <t>Côte d'Ivoire</t>
        </is>
      </c>
      <c r="C74" s="35" t="inlineStr">
        <is>
          <t>BCEAO</t>
        </is>
      </c>
      <c r="D74" s="35" t="inlineStr">
        <is>
          <t>FIU</t>
        </is>
      </c>
      <c r="E74" s="35" t="inlineStr">
        <is>
          <t>CENTIF-CI</t>
        </is>
      </c>
      <c r="F74" s="35" t="inlineStr">
        <is>
          <t>Accueil - CENTIF CI</t>
        </is>
      </c>
      <c r="G74" s="58" t="inlineStr">
        <is>
          <t>https://www.centif.ci/</t>
        </is>
      </c>
      <c r="H74" s="35" t="inlineStr">
        <is>
          <t>HTML</t>
        </is>
      </c>
      <c r="I74" s="35" t="inlineStr">
        <is>
          <t>FIU; annual reports, guidance, targeted financial sanctions list</t>
        </is>
      </c>
      <c r="J74" s="35" t="inlineStr">
        <is>
          <t>FR</t>
        </is>
      </c>
      <c r="K74" s="35" t="inlineStr">
        <is>
          <t>ja</t>
        </is>
      </c>
      <c r="L74" s="35" t="inlineStr">
        <is>
          <t>Confirmed in search index on official domain (direct fetch blocked in sandbox).</t>
        </is>
      </c>
    </row>
    <row r="75" ht="26.85" customHeight="1" s="31">
      <c r="B75" s="35" t="inlineStr">
        <is>
          <t>Côte d'Ivoire</t>
        </is>
      </c>
      <c r="C75" s="35" t="inlineStr">
        <is>
          <t>BCEAO</t>
        </is>
      </c>
      <c r="D75" s="35" t="inlineStr">
        <is>
          <t>FIU</t>
        </is>
      </c>
      <c r="E75" s="35" t="inlineStr">
        <is>
          <t>CENTIF-CI</t>
        </is>
      </c>
      <c r="F75" s="35" t="inlineStr">
        <is>
          <t>Liste des Sanctions Financières Ciblées (SFC)</t>
        </is>
      </c>
      <c r="G75" s="58" t="inlineStr">
        <is>
          <t>https://www.centif.ci/liste-des-sanctions/</t>
        </is>
      </c>
      <c r="H75" s="35" t="inlineStr">
        <is>
          <t>HTML</t>
        </is>
      </c>
      <c r="I75" s="35" t="inlineStr">
        <is>
          <t>National TFS list for screening</t>
        </is>
      </c>
      <c r="J75" s="35" t="inlineStr">
        <is>
          <t>FR</t>
        </is>
      </c>
      <c r="K75" s="35" t="inlineStr">
        <is>
          <t>ja</t>
        </is>
      </c>
      <c r="L75" s="35" t="inlineStr">
        <is>
          <t>Confirmed in search index on official domain (direct fetch blocked in sandbox).</t>
        </is>
      </c>
    </row>
    <row r="76" ht="26.85" customHeight="1" s="31">
      <c r="B76" s="35" t="inlineStr">
        <is>
          <t>Côte d'Ivoire</t>
        </is>
      </c>
      <c r="C76" s="35" t="inlineStr">
        <is>
          <t>BCEAO</t>
        </is>
      </c>
      <c r="D76" s="35" t="inlineStr">
        <is>
          <t>Industry association</t>
        </is>
      </c>
      <c r="E76" s="35" t="inlineStr">
        <is>
          <t>APBEF-CI</t>
        </is>
      </c>
      <c r="F76" s="35" t="inlineStr">
        <is>
          <t>APBEF-CI - fiche annuaire</t>
        </is>
      </c>
      <c r="G76" s="58" t="inlineStr">
        <is>
          <t>https://annuaireci.com/en/entreprises/apbef-ci-association-professionnelle-des-banques-et-etablissement-financier-de-cote-divoire/</t>
        </is>
      </c>
      <c r="H76" s="35" t="inlineStr">
        <is>
          <t>HTML</t>
        </is>
      </c>
      <c r="I76" s="35" t="inlineStr">
        <is>
          <t>Contact details of the bankers' association (Plateau, Abidjan)</t>
        </is>
      </c>
      <c r="J76" s="35" t="inlineStr">
        <is>
          <t>FR</t>
        </is>
      </c>
      <c r="K76" s="35" t="inlineStr">
        <is>
          <t>nein</t>
        </is>
      </c>
      <c r="L76" s="35" t="inlineStr">
        <is>
          <t>Third-party directory; official APBEF-CI site not found.</t>
        </is>
      </c>
    </row>
    <row r="77" ht="39.55" customHeight="1" s="31">
      <c r="B77" s="35" t="inlineStr">
        <is>
          <t>Côte d'Ivoire</t>
        </is>
      </c>
      <c r="C77" s="35" t="inlineStr">
        <is>
          <t>CIMA</t>
        </is>
      </c>
      <c r="D77" s="35" t="inlineStr">
        <is>
          <t>Insurance</t>
        </is>
      </c>
      <c r="E77" s="35" t="inlineStr">
        <is>
          <t>Direction des Assurances (Trésor CI)</t>
        </is>
      </c>
      <c r="F77" s="35" t="inlineStr">
        <is>
          <t>Rapport d'activités du marché ivoirien des assurances 2019</t>
        </is>
      </c>
      <c r="G77" s="58" t="inlineStr">
        <is>
          <t>https://assurances.tresor.gouv.ci/assur/wp-content/uploads/2022/01/Rapport-dactivit%C3%A9s-du-march%C3%A9-ivoirien-des-assurances_Exercice-2019-DEF-Copie-1.pdf</t>
        </is>
      </c>
      <c r="H77" s="35" t="inlineStr">
        <is>
          <t>PDF</t>
        </is>
      </c>
      <c r="I77" s="35" t="inlineStr">
        <is>
          <t>Market report naming insurers (~33 companies, 305 brokers in 2021)</t>
        </is>
      </c>
      <c r="J77" s="35" t="inlineStr">
        <is>
          <t>FR</t>
        </is>
      </c>
      <c r="K77" s="35" t="inlineStr">
        <is>
          <t>ja</t>
        </is>
      </c>
      <c r="L77" s="35" t="inlineStr">
        <is>
          <t>Confirmed in search index on official domain (direct fetch blocked in sandbox). Current named list not found.</t>
        </is>
      </c>
    </row>
    <row r="78" ht="52.2" customHeight="1" s="31">
      <c r="B78" s="35" t="inlineStr">
        <is>
          <t>Côte d'Ivoire</t>
        </is>
      </c>
      <c r="C78" s="35" t="inlineStr">
        <is>
          <t>BCEAO</t>
        </is>
      </c>
      <c r="D78" s="35" t="inlineStr">
        <is>
          <t>Microfinance</t>
        </is>
      </c>
      <c r="E78" s="35" t="inlineStr">
        <is>
          <t>Direction de la Réglementation et de la Surveillance des SFD (Trésor)</t>
        </is>
      </c>
      <c r="F78" s="35" t="inlineStr">
        <is>
          <t>Portail microfinance du Trésor - monographies SFD</t>
        </is>
      </c>
      <c r="G78" s="58" t="inlineStr">
        <is>
          <t>https://microfinance.tresor.gouv.ci/micro/wp-content/uploads/2020/07/monographie_2018.pdf</t>
        </is>
      </c>
      <c r="H78" s="35" t="inlineStr">
        <is>
          <t>PDF</t>
        </is>
      </c>
      <c r="I78" s="35" t="inlineStr">
        <is>
          <t>Monograph naming SFDs (46 licensed in 2023)</t>
        </is>
      </c>
      <c r="J78" s="35" t="inlineStr">
        <is>
          <t>FR</t>
        </is>
      </c>
      <c r="K78" s="35" t="inlineStr">
        <is>
          <t>ja</t>
        </is>
      </c>
      <c r="L78" s="35" t="inlineStr">
        <is>
          <t>Confirmed in search index on official domain (direct fetch blocked in sandbox). Older; site microfinance.tresor.gouv.ci hosts newer notes.</t>
        </is>
      </c>
    </row>
    <row r="79" ht="39.55" customHeight="1" s="31">
      <c r="B79" s="35" t="inlineStr">
        <is>
          <t>Côte d'Ivoire</t>
        </is>
      </c>
      <c r="C79" s="35" t="inlineStr">
        <is>
          <t>BCEAO</t>
        </is>
      </c>
      <c r="D79" s="35" t="inlineStr">
        <is>
          <t>Payments/E-money</t>
        </is>
      </c>
      <c r="E79" s="35" t="inlineStr">
        <is>
          <t>BCEAO</t>
        </is>
      </c>
      <c r="F79" s="35" t="inlineStr">
        <is>
          <t>3 - Liste Côte d'Ivoire_2026 (EME)</t>
        </is>
      </c>
      <c r="G79" s="58" t="inlineStr">
        <is>
          <t>https://www.bceao.int/sites/default/files/inline-files/3%20-%20Liste%20C%C3%B4te%20d_Ivoire_2026.pdf</t>
        </is>
      </c>
      <c r="H79" s="35" t="inlineStr">
        <is>
          <t>PDF</t>
        </is>
      </c>
      <c r="I79" s="35" t="inlineStr">
        <is>
          <t>4 e-money issuers: Orange Money CI, MTN MFS CI, Moov Money CI, Djogana Pay (June 2026)</t>
        </is>
      </c>
      <c r="J79" s="35" t="inlineStr">
        <is>
          <t>FR</t>
        </is>
      </c>
      <c r="K79" s="35" t="inlineStr">
        <is>
          <t>ja</t>
        </is>
      </c>
      <c r="L79" s="35" t="inlineStr">
        <is>
          <t>Confirmed in search index on official domain (direct fetch blocked in sandbox). Payment institutions (9) in BCEAO EP list.</t>
        </is>
      </c>
    </row>
    <row r="80" ht="26.85" customHeight="1" s="31">
      <c r="B80" s="35" t="inlineStr">
        <is>
          <t>Côte d'Ivoire</t>
        </is>
      </c>
      <c r="C80" s="35" t="inlineStr">
        <is>
          <t>BCEAO</t>
        </is>
      </c>
      <c r="D80" s="35" t="inlineStr">
        <is>
          <t>Professional body</t>
        </is>
      </c>
      <c r="E80" s="35" t="inlineStr">
        <is>
          <t>Ordre des Avocats - Barreau de Côte d'Ivoire</t>
        </is>
      </c>
      <c r="F80" s="35" t="inlineStr">
        <is>
          <t>Ordre des avocats (site officiel)</t>
        </is>
      </c>
      <c r="G80" s="58" t="inlineStr">
        <is>
          <t>https://web.ordredesavocats.ci/</t>
        </is>
      </c>
      <c r="H80" s="35" t="inlineStr">
        <is>
          <t>HTML</t>
        </is>
      </c>
      <c r="I80" s="35" t="inlineStr">
        <is>
          <t>Bar of CI; UK FCDO says detailed list of lawyers available on this site</t>
        </is>
      </c>
      <c r="J80" s="35" t="inlineStr">
        <is>
          <t>FR</t>
        </is>
      </c>
      <c r="K80" s="35" t="inlineStr">
        <is>
          <t>ja</t>
        </is>
      </c>
      <c r="L80" s="35" t="inlineStr">
        <is>
          <t>Domain confirmed via PDF hosted on it; directory page not confirmed.</t>
        </is>
      </c>
    </row>
    <row r="81" ht="26.85" customHeight="1" s="31">
      <c r="B81" s="35" t="inlineStr">
        <is>
          <t>Senegal</t>
        </is>
      </c>
      <c r="C81" s="35" t="inlineStr">
        <is>
          <t>BCEAO</t>
        </is>
      </c>
      <c r="D81" s="35" t="inlineStr">
        <is>
          <t>Banks</t>
        </is>
      </c>
      <c r="E81" s="35" t="inlineStr">
        <is>
          <t>Commission Bancaire de l'UMOA</t>
        </is>
      </c>
      <c r="F81" s="35" t="inlineStr">
        <is>
          <t>Liste Sénégal 2025</t>
        </is>
      </c>
      <c r="G81" s="58" t="inlineStr">
        <is>
          <t>https://www.cb-umoa.org/sites/default/files/Liste%20S%C3%A9n%C3%A9gal%202025.pdf</t>
        </is>
      </c>
      <c r="H81" s="35" t="inlineStr">
        <is>
          <t>PDF</t>
        </is>
      </c>
      <c r="I81" s="35" t="inlineStr">
        <is>
          <t>33 credit institutions licensed in Senegal</t>
        </is>
      </c>
      <c r="J81" s="35" t="inlineStr">
        <is>
          <t>FR</t>
        </is>
      </c>
      <c r="K81" s="35" t="inlineStr">
        <is>
          <t>ja</t>
        </is>
      </c>
      <c r="L81" s="35" t="inlineStr">
        <is>
          <t>Confirmed in search index on official domain (direct fetch blocked in sandbox).</t>
        </is>
      </c>
    </row>
    <row r="82" ht="26.85" customHeight="1" s="31">
      <c r="B82" s="35" t="inlineStr">
        <is>
          <t>Senegal</t>
        </is>
      </c>
      <c r="C82" s="35" t="inlineStr">
        <is>
          <t>BCEAO</t>
        </is>
      </c>
      <c r="D82" s="35" t="inlineStr">
        <is>
          <t>FIU</t>
        </is>
      </c>
      <c r="E82" s="35" t="inlineStr">
        <is>
          <t>CENTIF Sénégal</t>
        </is>
      </c>
      <c r="F82" s="35" t="inlineStr">
        <is>
          <t>CENTIF</t>
        </is>
      </c>
      <c r="G82" s="58" t="inlineStr">
        <is>
          <t>https://www.centif.sn/fr/</t>
        </is>
      </c>
      <c r="H82" s="35" t="inlineStr">
        <is>
          <t>HTML</t>
        </is>
      </c>
      <c r="I82" s="35" t="inlineStr">
        <is>
          <t>FIU; activity reports, typologies, e-Delta reporting</t>
        </is>
      </c>
      <c r="J82" s="35" t="inlineStr">
        <is>
          <t>FR</t>
        </is>
      </c>
      <c r="K82" s="35" t="inlineStr">
        <is>
          <t>ja</t>
        </is>
      </c>
      <c r="L82" s="35" t="inlineStr">
        <is>
          <t>Confirmed in search index on official domain (direct fetch blocked in sandbox).</t>
        </is>
      </c>
    </row>
    <row r="83" ht="26.85" customHeight="1" s="31">
      <c r="B83" s="35" t="inlineStr">
        <is>
          <t>Senegal</t>
        </is>
      </c>
      <c r="C83" s="35" t="inlineStr">
        <is>
          <t>BCEAO</t>
        </is>
      </c>
      <c r="D83" s="35" t="inlineStr">
        <is>
          <t>FIU</t>
        </is>
      </c>
      <c r="E83" s="35" t="inlineStr">
        <is>
          <t>CENTIF Sénégal</t>
        </is>
      </c>
      <c r="F83" s="35" t="inlineStr">
        <is>
          <t>Rapport d'activités 2025</t>
        </is>
      </c>
      <c r="G83" s="58" t="inlineStr">
        <is>
          <t>https://www.centif.sn/asset/attachements/rapports/Rapport_activite_2025.pdf.pdf</t>
        </is>
      </c>
      <c r="H83" s="35" t="inlineStr">
        <is>
          <t>PDF</t>
        </is>
      </c>
      <c r="I83" s="35" t="inlineStr">
        <is>
          <t>STR statistics by sector (banks ~83%), obliged-entity scope after 2024 law</t>
        </is>
      </c>
      <c r="J83" s="35" t="inlineStr">
        <is>
          <t>FR</t>
        </is>
      </c>
      <c r="K83" s="35" t="inlineStr">
        <is>
          <t>ja</t>
        </is>
      </c>
      <c r="L83" s="35" t="inlineStr">
        <is>
          <t>Confirmed in search index on official domain (direct fetch blocked in sandbox).</t>
        </is>
      </c>
    </row>
    <row r="84" ht="26.85" customHeight="1" s="31">
      <c r="B84" s="35" t="inlineStr">
        <is>
          <t>Senegal</t>
        </is>
      </c>
      <c r="C84" s="35" t="inlineStr">
        <is>
          <t>BCEAO</t>
        </is>
      </c>
      <c r="D84" s="35" t="inlineStr">
        <is>
          <t>Microfinance</t>
        </is>
      </c>
      <c r="E84" s="35" t="inlineStr">
        <is>
          <t>DRS-SFD (Ministère des Finances)</t>
        </is>
      </c>
      <c r="F84" s="35" t="inlineStr">
        <is>
          <t>DRS-SFD - no list URL located</t>
        </is>
      </c>
      <c r="G84" s="35" t="n"/>
      <c r="H84" s="35" t="inlineStr">
        <is>
          <t>HTML</t>
        </is>
      </c>
      <c r="I84" s="35" t="inlineStr">
        <is>
          <t>~297 licensed SFDs (Oct 2025)</t>
        </is>
      </c>
      <c r="J84" s="35" t="inlineStr">
        <is>
          <t>FR</t>
        </is>
      </c>
      <c r="K84" s="35" t="inlineStr">
        <is>
          <t>nein</t>
        </is>
      </c>
      <c r="L84" s="35" t="inlineStr">
        <is>
          <t>No public named list found; request from DRS-SFD.</t>
        </is>
      </c>
    </row>
    <row r="85" ht="39.55" customHeight="1" s="31">
      <c r="B85" s="35" t="inlineStr">
        <is>
          <t>Senegal</t>
        </is>
      </c>
      <c r="C85" s="35" t="inlineStr">
        <is>
          <t>BCEAO</t>
        </is>
      </c>
      <c r="D85" s="35" t="inlineStr">
        <is>
          <t>Payments/E-money</t>
        </is>
      </c>
      <c r="E85" s="35" t="inlineStr">
        <is>
          <t>Commission Bancaire de l'UMOA</t>
        </is>
      </c>
      <c r="F85" s="35" t="inlineStr">
        <is>
          <t>Liste des EME SN 2025</t>
        </is>
      </c>
      <c r="G85" s="58" t="inlineStr">
        <is>
          <t>https://cb-umoa.org/sites/default/files/Liste%20des%20EME%20SN_2025.pdf</t>
        </is>
      </c>
      <c r="H85" s="35" t="inlineStr">
        <is>
          <t>PDF</t>
        </is>
      </c>
      <c r="I85" s="35" t="inlineStr">
        <is>
          <t>E-money issuers: Orange Finances Mobiles SN, Mobile Cash (Free Money), Wave Digital Finance, QuickPay</t>
        </is>
      </c>
      <c r="J85" s="35" t="inlineStr">
        <is>
          <t>FR</t>
        </is>
      </c>
      <c r="K85" s="35" t="inlineStr">
        <is>
          <t>ja</t>
        </is>
      </c>
      <c r="L85" s="35" t="inlineStr">
        <is>
          <t>Confirmed in search index on official domain (direct fetch blocked in sandbox). 11 payment institutions in BCEAO EP list.</t>
        </is>
      </c>
    </row>
    <row r="86" ht="26.85" customHeight="1" s="31">
      <c r="B86" s="35" t="inlineStr">
        <is>
          <t>Senegal</t>
        </is>
      </c>
      <c r="C86" s="35" t="inlineStr">
        <is>
          <t>BCEAO</t>
        </is>
      </c>
      <c r="D86" s="35" t="inlineStr">
        <is>
          <t>Professional body</t>
        </is>
      </c>
      <c r="E86" s="35" t="inlineStr">
        <is>
          <t>ONECCA Sénégal</t>
        </is>
      </c>
      <c r="F86" s="35" t="inlineStr">
        <is>
          <t>ONECCA - site officiel</t>
        </is>
      </c>
      <c r="G86" s="58" t="inlineStr">
        <is>
          <t>https://www.onecca.sn</t>
        </is>
      </c>
      <c r="H86" s="35" t="inlineStr">
        <is>
          <t>HTML</t>
        </is>
      </c>
      <c r="I86" s="35" t="inlineStr">
        <is>
          <t>Chartered accountants/auditors order (mandatory registration)</t>
        </is>
      </c>
      <c r="J86" s="35" t="inlineStr">
        <is>
          <t>FR</t>
        </is>
      </c>
      <c r="K86" s="35" t="inlineStr">
        <is>
          <t>nein</t>
        </is>
      </c>
      <c r="L86" s="35" t="inlineStr">
        <is>
          <t>Domain cited by secondary sources; not confirmed in index.</t>
        </is>
      </c>
    </row>
    <row r="87" ht="39.55" customHeight="1" s="31">
      <c r="B87" s="35" t="inlineStr">
        <is>
          <t>Cameroon</t>
        </is>
      </c>
      <c r="C87" s="35" t="inlineStr">
        <is>
          <t>COBAC/BEAC</t>
        </is>
      </c>
      <c r="D87" s="35" t="inlineStr">
        <is>
          <t>Banks</t>
        </is>
      </c>
      <c r="E87" s="35" t="inlineStr">
        <is>
          <t>COBAC</t>
        </is>
      </c>
      <c r="F87" s="35" t="inlineStr">
        <is>
          <t>COBAC - SOCIETE GENERALE CAMEROUN (example per-institution page)</t>
        </is>
      </c>
      <c r="G87" s="58" t="inlineStr">
        <is>
          <t>http://www.sgcobac.org/jcms/ess_6899/en/societe-generale-cameroun</t>
        </is>
      </c>
      <c r="H87" s="35" t="inlineStr">
        <is>
          <t>HTML</t>
        </is>
      </c>
      <c r="I87" s="35" t="inlineStr">
        <is>
          <t>Per-bank page in COBAC directory (Cameroon ~17-19 banks)</t>
        </is>
      </c>
      <c r="J87" s="35" t="inlineStr">
        <is>
          <t>FR</t>
        </is>
      </c>
      <c r="K87" s="35" t="inlineStr">
        <is>
          <t>ja</t>
        </is>
      </c>
      <c r="L87" s="35" t="inlineStr">
        <is>
          <t>Confirmed in search index on official domain (direct fetch blocked in sandbox).</t>
        </is>
      </c>
    </row>
    <row r="88" ht="26.85" customHeight="1" s="31">
      <c r="B88" s="35" t="inlineStr">
        <is>
          <t>Cameroon</t>
        </is>
      </c>
      <c r="C88" s="35" t="inlineStr">
        <is>
          <t>COBAC/BEAC</t>
        </is>
      </c>
      <c r="D88" s="35" t="inlineStr">
        <is>
          <t>FIU</t>
        </is>
      </c>
      <c r="E88" s="35" t="inlineStr">
        <is>
          <t>ANIF Cameroun</t>
        </is>
      </c>
      <c r="F88" s="35" t="inlineStr">
        <is>
          <t>ANIF Cameroun - no official website located</t>
        </is>
      </c>
      <c r="G88" s="35" t="n"/>
      <c r="H88" s="35" t="inlineStr">
        <is>
          <t>HTML</t>
        </is>
      </c>
      <c r="I88" s="35" t="inlineStr">
        <is>
          <t>FIU (Décret 2005/187); reporting entities per CEMAC Reg. 01/CEMAC/UMAC/CM</t>
        </is>
      </c>
      <c r="J88" s="35" t="inlineStr">
        <is>
          <t>FR</t>
        </is>
      </c>
      <c r="K88" s="35" t="inlineStr">
        <is>
          <t>nein</t>
        </is>
      </c>
      <c r="L88" s="35" t="inlineStr">
        <is>
          <t>No official domain found; do not guess.</t>
        </is>
      </c>
    </row>
    <row r="89" ht="26.85" customHeight="1" s="31">
      <c r="B89" s="35" t="inlineStr">
        <is>
          <t>Cameroon</t>
        </is>
      </c>
      <c r="C89" s="35" t="inlineStr">
        <is>
          <t>COBAC/BEAC</t>
        </is>
      </c>
      <c r="D89" s="35" t="inlineStr">
        <is>
          <t>Industry association</t>
        </is>
      </c>
      <c r="E89" s="35" t="inlineStr">
        <is>
          <t>APECCAM</t>
        </is>
      </c>
      <c r="F89" s="35" t="inlineStr">
        <is>
          <t>L'APECCAM au fil des ans</t>
        </is>
      </c>
      <c r="G89" s="58" t="inlineStr">
        <is>
          <t>https://www.osidimbea.cm/associations/patrons/apeccam-fil/</t>
        </is>
      </c>
      <c r="H89" s="35" t="inlineStr">
        <is>
          <t>HTML</t>
        </is>
      </c>
      <c r="I89" s="35" t="inlineStr">
        <is>
          <t>Bankers' association profile (27 member banks &amp; FIs)</t>
        </is>
      </c>
      <c r="J89" s="35" t="inlineStr">
        <is>
          <t>FR</t>
        </is>
      </c>
      <c r="K89" s="35" t="inlineStr">
        <is>
          <t>nein</t>
        </is>
      </c>
      <c r="L89" s="35" t="inlineStr">
        <is>
          <t>Third-party page; official site not found.</t>
        </is>
      </c>
    </row>
    <row r="90" ht="39.55" customHeight="1" s="31">
      <c r="B90" s="35" t="inlineStr">
        <is>
          <t>Cameroon</t>
        </is>
      </c>
      <c r="C90" s="35" t="inlineStr">
        <is>
          <t>COBAC/BEAC</t>
        </is>
      </c>
      <c r="D90" s="35" t="inlineStr">
        <is>
          <t>Microfinance</t>
        </is>
      </c>
      <c r="E90" s="35" t="inlineStr">
        <is>
          <t>MINFI Cameroun</t>
        </is>
      </c>
      <c r="F90" s="35" t="inlineStr">
        <is>
          <t>Liste des Établissements de Microfinance Agréés au 31 décembre 2021</t>
        </is>
      </c>
      <c r="G90" s="58" t="inlineStr">
        <is>
          <t>https://minfi.gov.cm/liste-des-etablissements-de-microfinance-agrees-au-31-decembre-2021/</t>
        </is>
      </c>
      <c r="H90" s="35" t="inlineStr">
        <is>
          <t>HTML</t>
        </is>
      </c>
      <c r="I90" s="35" t="inlineStr">
        <is>
          <t>EMFs by category &amp; region with approval ref; 2026 list (385 EMFs, as at 31 Dec 2025) published by MINFI per press</t>
        </is>
      </c>
      <c r="J90" s="35" t="inlineStr">
        <is>
          <t>FR</t>
        </is>
      </c>
      <c r="K90" s="35" t="inlineStr">
        <is>
          <t>ja</t>
        </is>
      </c>
      <c r="L90" s="35" t="inlineStr">
        <is>
          <t>Confirmed in search index on official domain (direct fetch blocked in sandbox). Look for 2025 version on same site.</t>
        </is>
      </c>
    </row>
    <row r="91" ht="26.85" customHeight="1" s="31">
      <c r="B91" s="35" t="inlineStr">
        <is>
          <t>Cameroon</t>
        </is>
      </c>
      <c r="C91" s="35" t="inlineStr">
        <is>
          <t>COBAC/BEAC</t>
        </is>
      </c>
      <c r="D91" s="35" t="inlineStr">
        <is>
          <t>Professional body</t>
        </is>
      </c>
      <c r="E91" s="35" t="inlineStr">
        <is>
          <t>Barreau du Cameroun</t>
        </is>
      </c>
      <c r="F91" s="35" t="inlineStr">
        <is>
          <t>Ordre des Avocats au Barreau du Cameroun</t>
        </is>
      </c>
      <c r="G91" s="58" t="inlineStr">
        <is>
          <t>https://barreaucameroun.org/fr/</t>
        </is>
      </c>
      <c r="H91" s="35" t="inlineStr">
        <is>
          <t>HTML</t>
        </is>
      </c>
      <c r="I91" s="35" t="inlineStr">
        <is>
          <t>Bar website (communiqués; tableau not found online)</t>
        </is>
      </c>
      <c r="J91" s="35" t="inlineStr">
        <is>
          <t>FR</t>
        </is>
      </c>
      <c r="K91" s="35" t="inlineStr">
        <is>
          <t>ja</t>
        </is>
      </c>
      <c r="L91" s="35" t="inlineStr">
        <is>
          <t>Domain confirmed via PDFs hosted on it.</t>
        </is>
      </c>
    </row>
    <row r="92" ht="26.85" customHeight="1" s="31">
      <c r="B92" s="35" t="inlineStr">
        <is>
          <t>Cameroon</t>
        </is>
      </c>
      <c r="C92" s="35" t="inlineStr">
        <is>
          <t>COBAC/BEAC</t>
        </is>
      </c>
      <c r="D92" s="35" t="inlineStr">
        <is>
          <t>Professional body</t>
        </is>
      </c>
      <c r="E92" s="35" t="inlineStr">
        <is>
          <t>ONECCA Cameroun</t>
        </is>
      </c>
      <c r="F92" s="35" t="inlineStr">
        <is>
          <t>ONECCA - site officiel</t>
        </is>
      </c>
      <c r="G92" s="58" t="inlineStr">
        <is>
          <t>https://www.onecca.cm</t>
        </is>
      </c>
      <c r="H92" s="35" t="inlineStr">
        <is>
          <t>HTML</t>
        </is>
      </c>
      <c r="I92" s="35" t="inlineStr">
        <is>
          <t>Chartered accountants order (~240 members 2017)</t>
        </is>
      </c>
      <c r="J92" s="35" t="inlineStr">
        <is>
          <t>FR</t>
        </is>
      </c>
      <c r="K92" s="35" t="inlineStr">
        <is>
          <t>nein</t>
        </is>
      </c>
      <c r="L92" s="35" t="inlineStr">
        <is>
          <t>Domain cited by secondary source.</t>
        </is>
      </c>
    </row>
    <row r="93" ht="39.55" customHeight="1" s="31">
      <c r="B93" s="35" t="inlineStr">
        <is>
          <t>Ghana</t>
        </is>
      </c>
      <c r="C93" s="35" t="inlineStr">
        <is>
          <t>GIABA</t>
        </is>
      </c>
      <c r="D93" s="35" t="inlineStr">
        <is>
          <t>Banks</t>
        </is>
      </c>
      <c r="E93" s="35" t="inlineStr">
        <is>
          <t>Bank of Ghana</t>
        </is>
      </c>
      <c r="F93" s="35" t="inlineStr">
        <is>
          <t>Banks</t>
        </is>
      </c>
      <c r="G93" s="58" t="inlineStr">
        <is>
          <t>https://www.bog.gov.gh/supervision-regulation/registered-institutions/banks/</t>
        </is>
      </c>
      <c r="H93" s="35" t="inlineStr">
        <is>
          <t>HTML</t>
        </is>
      </c>
      <c r="I93" s="35" t="inlineStr">
        <is>
          <t>~23 universal banks with address, phone, website, email</t>
        </is>
      </c>
      <c r="J93" s="35" t="inlineStr">
        <is>
          <t>EN</t>
        </is>
      </c>
      <c r="K93" s="35" t="inlineStr">
        <is>
          <t>ja</t>
        </is>
      </c>
      <c r="L93" s="35" t="inlineStr">
        <is>
          <t>Confirmed in search index on official domain (direct fetch blocked in sandbox). Contact details YES.</t>
        </is>
      </c>
    </row>
    <row r="94" ht="26.85" customHeight="1" s="31">
      <c r="B94" s="35" t="inlineStr">
        <is>
          <t>Ghana</t>
        </is>
      </c>
      <c r="C94" s="35" t="inlineStr">
        <is>
          <t>GIABA</t>
        </is>
      </c>
      <c r="D94" s="35" t="inlineStr">
        <is>
          <t>Banks</t>
        </is>
      </c>
      <c r="E94" s="35" t="inlineStr">
        <is>
          <t>Bank of Ghana</t>
        </is>
      </c>
      <c r="F94" s="35" t="inlineStr">
        <is>
          <t>All Institutions</t>
        </is>
      </c>
      <c r="G94" s="58" t="inlineStr">
        <is>
          <t>https://www.bog.gov.gh/supervision-regulation/all-institutions/</t>
        </is>
      </c>
      <c r="H94" s="35" t="inlineStr">
        <is>
          <t>HTML</t>
        </is>
      </c>
      <c r="I94" s="35" t="inlineStr">
        <is>
          <t>Hub: banks, savings &amp; loans, rural/community banks, deposit-taking MFIs, forex bureaux</t>
        </is>
      </c>
      <c r="J94" s="35" t="inlineStr">
        <is>
          <t>EN</t>
        </is>
      </c>
      <c r="K94" s="35" t="inlineStr">
        <is>
          <t>ja</t>
        </is>
      </c>
      <c r="L94" s="35" t="inlineStr">
        <is>
          <t>Confirmed in search index on official domain (direct fetch blocked in sandbox).</t>
        </is>
      </c>
    </row>
    <row r="95" ht="26.85" customHeight="1" s="31">
      <c r="B95" s="35" t="inlineStr">
        <is>
          <t>Ghana</t>
        </is>
      </c>
      <c r="C95" s="35" t="inlineStr">
        <is>
          <t>GIABA</t>
        </is>
      </c>
      <c r="D95" s="35" t="inlineStr">
        <is>
          <t>Capital markets</t>
        </is>
      </c>
      <c r="E95" s="35" t="inlineStr">
        <is>
          <t>SEC Ghana</t>
        </is>
      </c>
      <c r="F95" s="35" t="inlineStr">
        <is>
          <t>SEC Ghana - Operator Types</t>
        </is>
      </c>
      <c r="G95" s="58" t="inlineStr">
        <is>
          <t>https://licensees.sec.gov.gh/</t>
        </is>
      </c>
      <c r="H95" s="35" t="inlineStr">
        <is>
          <t>Search tool</t>
        </is>
      </c>
      <c r="I95" s="35" t="inlineStr">
        <is>
          <t>Licensees by type: 34 broker-dealers, 85 fund managers, custodians, etc.</t>
        </is>
      </c>
      <c r="J95" s="35" t="inlineStr">
        <is>
          <t>EN</t>
        </is>
      </c>
      <c r="K95" s="35" t="inlineStr">
        <is>
          <t>ja</t>
        </is>
      </c>
      <c r="L95" s="35" t="inlineStr">
        <is>
          <t>Confirmed in search index on official domain (direct fetch blocked in sandbox).</t>
        </is>
      </c>
    </row>
    <row r="96" ht="26.85" customHeight="1" s="31">
      <c r="B96" s="35" t="inlineStr">
        <is>
          <t>Ghana</t>
        </is>
      </c>
      <c r="C96" s="35" t="inlineStr">
        <is>
          <t>GIABA</t>
        </is>
      </c>
      <c r="D96" s="35" t="inlineStr">
        <is>
          <t>FIU</t>
        </is>
      </c>
      <c r="E96" s="35" t="inlineStr">
        <is>
          <t>Financial Intelligence Centre Ghana</t>
        </is>
      </c>
      <c r="F96" s="35" t="inlineStr">
        <is>
          <t>FIC Home</t>
        </is>
      </c>
      <c r="G96" s="58" t="inlineStr">
        <is>
          <t>https://www.fic.gov.gh/</t>
        </is>
      </c>
      <c r="H96" s="35" t="inlineStr">
        <is>
          <t>HTML</t>
        </is>
      </c>
      <c r="I96" s="35" t="inlineStr">
        <is>
          <t>FIU; guidelines for accountable institutions (Act 1044)</t>
        </is>
      </c>
      <c r="J96" s="35" t="inlineStr">
        <is>
          <t>EN</t>
        </is>
      </c>
      <c r="K96" s="35" t="inlineStr">
        <is>
          <t>ja</t>
        </is>
      </c>
      <c r="L96" s="35" t="inlineStr">
        <is>
          <t>Confirmed in search index on official domain (direct fetch blocked in sandbox).</t>
        </is>
      </c>
    </row>
    <row r="97" ht="26.85" customHeight="1" s="31">
      <c r="B97" s="35" t="inlineStr">
        <is>
          <t>Ghana</t>
        </is>
      </c>
      <c r="C97" s="35" t="inlineStr">
        <is>
          <t>GIABA</t>
        </is>
      </c>
      <c r="D97" s="35" t="inlineStr">
        <is>
          <t>Industry association</t>
        </is>
      </c>
      <c r="E97" s="35" t="inlineStr">
        <is>
          <t>Ghana Association of Banks</t>
        </is>
      </c>
      <c r="F97" s="35" t="inlineStr">
        <is>
          <t>GAB - Who we are</t>
        </is>
      </c>
      <c r="G97" s="58" t="inlineStr">
        <is>
          <t>https://gab.com.gh/about</t>
        </is>
      </c>
      <c r="H97" s="35" t="inlineStr">
        <is>
          <t>HTML</t>
        </is>
      </c>
      <c r="I97" s="35" t="inlineStr">
        <is>
          <t>25 member institutions (incl. ARB Apex Bank)</t>
        </is>
      </c>
      <c r="J97" s="35" t="inlineStr">
        <is>
          <t>EN</t>
        </is>
      </c>
      <c r="K97" s="35" t="inlineStr">
        <is>
          <t>ja</t>
        </is>
      </c>
      <c r="L97" s="35" t="inlineStr">
        <is>
          <t>Confirmed in search index on official domain (direct fetch blocked in sandbox).</t>
        </is>
      </c>
    </row>
    <row r="98" ht="26.85" customHeight="1" s="31">
      <c r="B98" s="35" t="inlineStr">
        <is>
          <t>Ghana</t>
        </is>
      </c>
      <c r="C98" s="35" t="inlineStr">
        <is>
          <t>GIABA</t>
        </is>
      </c>
      <c r="D98" s="35" t="inlineStr">
        <is>
          <t>Insurance</t>
        </is>
      </c>
      <c r="E98" s="35" t="inlineStr">
        <is>
          <t>National Insurance Commission</t>
        </is>
      </c>
      <c r="F98" s="35" t="inlineStr">
        <is>
          <t>Insurers &amp; Reinsurers</t>
        </is>
      </c>
      <c r="G98" s="58" t="inlineStr">
        <is>
          <t>https://nicgh.org/insurers-reinsurers/reinsurers/</t>
        </is>
      </c>
      <c r="H98" s="35" t="inlineStr">
        <is>
          <t>HTML</t>
        </is>
      </c>
      <c r="I98" s="35" t="inlineStr">
        <is>
          <t>Licensed reinsurers; sibling pages for life &amp; non-life insurers</t>
        </is>
      </c>
      <c r="J98" s="35" t="inlineStr">
        <is>
          <t>EN</t>
        </is>
      </c>
      <c r="K98" s="35" t="inlineStr">
        <is>
          <t>ja</t>
        </is>
      </c>
      <c r="L98" s="35" t="inlineStr">
        <is>
          <t>Confirmed in search index on official domain (direct fetch blocked in sandbox).</t>
        </is>
      </c>
    </row>
    <row r="99" ht="26.85" customHeight="1" s="31">
      <c r="B99" s="35" t="inlineStr">
        <is>
          <t>Ghana</t>
        </is>
      </c>
      <c r="C99" s="35" t="inlineStr">
        <is>
          <t>GIABA</t>
        </is>
      </c>
      <c r="D99" s="35" t="inlineStr">
        <is>
          <t>Microfinance</t>
        </is>
      </c>
      <c r="E99" s="35" t="inlineStr">
        <is>
          <t>Bank of Ghana</t>
        </is>
      </c>
      <c r="F99" s="35" t="inlineStr">
        <is>
          <t>Savings &amp; Loans</t>
        </is>
      </c>
      <c r="G99" s="58" t="inlineStr">
        <is>
          <t>https://www.bog.gov.gh/supervision-regulation/registered-institutions/savings-loans/</t>
        </is>
      </c>
      <c r="H99" s="35" t="inlineStr">
        <is>
          <t>HTML</t>
        </is>
      </c>
      <c r="I99" s="35" t="inlineStr">
        <is>
          <t>Licensed savings &amp; loans companies</t>
        </is>
      </c>
      <c r="J99" s="35" t="inlineStr">
        <is>
          <t>EN</t>
        </is>
      </c>
      <c r="K99" s="35" t="inlineStr">
        <is>
          <t>ja</t>
        </is>
      </c>
      <c r="L99" s="35" t="inlineStr">
        <is>
          <t>Confirmed in search index on official domain (direct fetch blocked in sandbox).</t>
        </is>
      </c>
    </row>
    <row r="100" ht="26.85" customHeight="1" s="31">
      <c r="B100" s="35" t="inlineStr">
        <is>
          <t>Ghana</t>
        </is>
      </c>
      <c r="C100" s="35" t="inlineStr">
        <is>
          <t>GIABA</t>
        </is>
      </c>
      <c r="D100" s="35" t="inlineStr">
        <is>
          <t>Microfinance</t>
        </is>
      </c>
      <c r="E100" s="35" t="inlineStr">
        <is>
          <t>Bank of Ghana</t>
        </is>
      </c>
      <c r="F100" s="35" t="inlineStr">
        <is>
          <t>OFISD (rural/community banks, MFIs, forex bureaux)</t>
        </is>
      </c>
      <c r="G100" s="58" t="inlineStr">
        <is>
          <t>https://www.bog.gov.gh/supervision-regulation/ofisd/</t>
        </is>
      </c>
      <c r="H100" s="35" t="inlineStr">
        <is>
          <t>HTML</t>
        </is>
      </c>
      <c r="I100" s="35" t="inlineStr">
        <is>
          <t>Other Financial Institutions databases incl. RCBs (~140), MFIs, forex bureaux</t>
        </is>
      </c>
      <c r="J100" s="35" t="inlineStr">
        <is>
          <t>EN</t>
        </is>
      </c>
      <c r="K100" s="35" t="inlineStr">
        <is>
          <t>ja</t>
        </is>
      </c>
      <c r="L100" s="35" t="inlineStr">
        <is>
          <t>Confirmed in search index on official domain (direct fetch blocked in sandbox).</t>
        </is>
      </c>
    </row>
    <row r="101" ht="52.2" customHeight="1" s="31">
      <c r="B101" s="35" t="inlineStr">
        <is>
          <t>Ghana</t>
        </is>
      </c>
      <c r="C101" s="35" t="inlineStr">
        <is>
          <t>GIABA</t>
        </is>
      </c>
      <c r="D101" s="35" t="inlineStr">
        <is>
          <t>Payments/E-money</t>
        </is>
      </c>
      <c r="E101" s="35" t="inlineStr">
        <is>
          <t>Bank of Ghana</t>
        </is>
      </c>
      <c r="F101" s="35" t="inlineStr">
        <is>
          <t>List of approved Electronic Money Issuers and Payment Service Providers</t>
        </is>
      </c>
      <c r="G101" s="58" t="inlineStr">
        <is>
          <t>https://www.bog.gov.gh/wp-content/uploads/2021/04/BOG-Approved-List-of-Electronic-Money-Issuers-and-Payment-Service-Providers.pdf</t>
        </is>
      </c>
      <c r="H101" s="35" t="inlineStr">
        <is>
          <t>PDF</t>
        </is>
      </c>
      <c r="I101" s="35" t="inlineStr">
        <is>
          <t>DEMIs, Enhanced/Medium/Standard PSPs (2021)</t>
        </is>
      </c>
      <c r="J101" s="35" t="inlineStr">
        <is>
          <t>EN</t>
        </is>
      </c>
      <c r="K101" s="35" t="inlineStr">
        <is>
          <t>ja</t>
        </is>
      </c>
      <c r="L101" s="35" t="inlineStr">
        <is>
          <t>Confirmed in search index on official domain (direct fetch blocked in sandbox). 63 entities at Dec 2025 per FinTech Sector Report 2025.</t>
        </is>
      </c>
    </row>
    <row r="102" ht="26.85" customHeight="1" s="31">
      <c r="B102" s="35" t="inlineStr">
        <is>
          <t>Ghana</t>
        </is>
      </c>
      <c r="C102" s="35" t="inlineStr">
        <is>
          <t>GIABA</t>
        </is>
      </c>
      <c r="D102" s="35" t="inlineStr">
        <is>
          <t>Payments/E-money</t>
        </is>
      </c>
      <c r="E102" s="35" t="inlineStr">
        <is>
          <t>Bank of Ghana</t>
        </is>
      </c>
      <c r="F102" s="35" t="inlineStr">
        <is>
          <t>FinTech Sector Report 2025 Full Year</t>
        </is>
      </c>
      <c r="G102" s="58" t="inlineStr">
        <is>
          <t>https://www.bog.gov.gh/wp-content/uploads/2026/03/FinTech-Sector-Report-2025-FY-1.pdf</t>
        </is>
      </c>
      <c r="H102" s="35" t="inlineStr">
        <is>
          <t>PDF</t>
        </is>
      </c>
      <c r="I102" s="35" t="inlineStr">
        <is>
          <t>Approved payment entities (63) - may include annex list</t>
        </is>
      </c>
      <c r="J102" s="35" t="inlineStr">
        <is>
          <t>EN</t>
        </is>
      </c>
      <c r="K102" s="35" t="inlineStr">
        <is>
          <t>ja</t>
        </is>
      </c>
      <c r="L102" s="35" t="inlineStr">
        <is>
          <t>Confirmed in search index on official domain (direct fetch blocked in sandbox).</t>
        </is>
      </c>
    </row>
    <row r="103" ht="52.2" customHeight="1" s="31">
      <c r="B103" s="35" t="inlineStr">
        <is>
          <t>Ghana</t>
        </is>
      </c>
      <c r="C103" s="35" t="inlineStr">
        <is>
          <t>GIABA</t>
        </is>
      </c>
      <c r="D103" s="35" t="inlineStr">
        <is>
          <t>Professional body</t>
        </is>
      </c>
      <c r="E103" s="35" t="inlineStr">
        <is>
          <t>ICAG</t>
        </is>
      </c>
      <c r="F103" s="35" t="inlineStr">
        <is>
          <t>2026 List of Licensed Firms in Good Standing (22.07.2026)</t>
        </is>
      </c>
      <c r="G103" s="58" t="inlineStr">
        <is>
          <t>https://www.icagh.org/wp-content/uploads/2026/07/2026-List-of-Licensed-Firms-in-Good-Standing-22.07.2026-Updated.pdf</t>
        </is>
      </c>
      <c r="H103" s="35" t="inlineStr">
        <is>
          <t>PDF</t>
        </is>
      </c>
      <c r="I103" s="35" t="inlineStr">
        <is>
          <t>Licensed accountancy/audit firms with licence no., address, managing partner</t>
        </is>
      </c>
      <c r="J103" s="35" t="inlineStr">
        <is>
          <t>EN</t>
        </is>
      </c>
      <c r="K103" s="35" t="inlineStr">
        <is>
          <t>ja</t>
        </is>
      </c>
      <c r="L103" s="35" t="inlineStr">
        <is>
          <t>Confirmed in search index on official domain (direct fetch blocked in sandbox). Contact details partly (detailed 31.12.2025 list has emails).</t>
        </is>
      </c>
    </row>
    <row r="104" ht="26.85" customHeight="1" s="31">
      <c r="B104" s="35" t="inlineStr">
        <is>
          <t>Ghana</t>
        </is>
      </c>
      <c r="C104" s="35" t="inlineStr">
        <is>
          <t>GIABA</t>
        </is>
      </c>
      <c r="D104" s="35" t="inlineStr">
        <is>
          <t>Professional body</t>
        </is>
      </c>
      <c r="E104" s="35" t="inlineStr">
        <is>
          <t>General Legal Council</t>
        </is>
      </c>
      <c r="F104" s="35" t="inlineStr">
        <is>
          <t>Lawyers in good standing</t>
        </is>
      </c>
      <c r="G104" s="58" t="inlineStr">
        <is>
          <t>https://www.glc.gov.gh/lawyers-in-good-standing</t>
        </is>
      </c>
      <c r="H104" s="35" t="inlineStr">
        <is>
          <t>HTML</t>
        </is>
      </c>
      <c r="I104" s="35" t="inlineStr">
        <is>
          <t>Lawyers with current practising licence; also Roll of Lawyers and Find a Lawyer</t>
        </is>
      </c>
      <c r="J104" s="35" t="inlineStr">
        <is>
          <t>EN</t>
        </is>
      </c>
      <c r="K104" s="35" t="inlineStr">
        <is>
          <t>ja</t>
        </is>
      </c>
      <c r="L104" s="35" t="inlineStr">
        <is>
          <t>Confirmed in search index on official domain (direct fetch blocked in sandbox).</t>
        </is>
      </c>
    </row>
    <row r="105" ht="39.55" customHeight="1" s="31">
      <c r="B105" s="35" t="inlineStr">
        <is>
          <t>Ghana</t>
        </is>
      </c>
      <c r="C105" s="35" t="inlineStr">
        <is>
          <t>GIABA</t>
        </is>
      </c>
      <c r="D105" s="35" t="inlineStr">
        <is>
          <t>VASP</t>
        </is>
      </c>
      <c r="E105" s="35" t="inlineStr">
        <is>
          <t>SEC Ghana</t>
        </is>
      </c>
      <c r="F105" s="35" t="inlineStr">
        <is>
          <t>Public Notice: Full List of Virtual Asset Sandbox Participants</t>
        </is>
      </c>
      <c r="G105" s="58" t="inlineStr">
        <is>
          <t>https://sec.gov.gh/public-notice-full-list-of-virtual-asset-sandbox-participants/</t>
        </is>
      </c>
      <c r="H105" s="35" t="inlineStr">
        <is>
          <t>HTML</t>
        </is>
      </c>
      <c r="I105" s="35" t="inlineStr">
        <is>
          <t>VA sandbox participants (Yellow Card, WhiteBIT, KoinKoin...)</t>
        </is>
      </c>
      <c r="J105" s="35" t="inlineStr">
        <is>
          <t>EN</t>
        </is>
      </c>
      <c r="K105" s="35" t="inlineStr">
        <is>
          <t>ja</t>
        </is>
      </c>
      <c r="L105" s="35" t="inlineStr">
        <is>
          <t>Confirmed in search index on official domain (direct fetch blocked in sandbox). Sandbox, not full licences.</t>
        </is>
      </c>
    </row>
    <row r="106" ht="26.85" customHeight="1" s="31">
      <c r="B106" s="35" t="inlineStr">
        <is>
          <t>Rwanda</t>
        </is>
      </c>
      <c r="C106" s="35" t="inlineStr">
        <is>
          <t>ESAAMLG</t>
        </is>
      </c>
      <c r="D106" s="35" t="inlineStr">
        <is>
          <t>Banks</t>
        </is>
      </c>
      <c r="E106" s="35" t="inlineStr">
        <is>
          <t>National Bank of Rwanda</t>
        </is>
      </c>
      <c r="F106" s="35" t="inlineStr">
        <is>
          <t>List of Supervised Banks</t>
        </is>
      </c>
      <c r="G106" s="58" t="inlineStr">
        <is>
          <t>https://www.bnr.rw/documents/LIST_OF_SUPERVISED_BANKS.pdf</t>
        </is>
      </c>
      <c r="H106" s="35" t="inlineStr">
        <is>
          <t>PDF</t>
        </is>
      </c>
      <c r="I106" s="35" t="inlineStr">
        <is>
          <t>11 banks (9 commercial, 1 development, 1 cooperative)</t>
        </is>
      </c>
      <c r="J106" s="35" t="inlineStr">
        <is>
          <t>EN</t>
        </is>
      </c>
      <c r="K106" s="35" t="inlineStr">
        <is>
          <t>ja</t>
        </is>
      </c>
      <c r="L106" s="35" t="inlineStr">
        <is>
          <t>Confirmed in search index on official domain (direct fetch blocked in sandbox).</t>
        </is>
      </c>
    </row>
    <row r="107" ht="39.55" customHeight="1" s="31">
      <c r="B107" s="35" t="inlineStr">
        <is>
          <t>Rwanda</t>
        </is>
      </c>
      <c r="C107" s="35" t="inlineStr">
        <is>
          <t>ESAAMLG</t>
        </is>
      </c>
      <c r="D107" s="35" t="inlineStr">
        <is>
          <t>Capital markets</t>
        </is>
      </c>
      <c r="E107" s="35" t="inlineStr">
        <is>
          <t>Capital Market Authority Rwanda</t>
        </is>
      </c>
      <c r="F107" s="35" t="inlineStr">
        <is>
          <t>Licensees</t>
        </is>
      </c>
      <c r="G107" s="58" t="inlineStr">
        <is>
          <t>https://www.cma.rw/licensing/licensees</t>
        </is>
      </c>
      <c r="H107" s="35" t="inlineStr">
        <is>
          <t>HTML</t>
        </is>
      </c>
      <c r="I107" s="35" t="inlineStr">
        <is>
          <t>Brokers, investment managers, custodians, CIS, advisers with contact person/address</t>
        </is>
      </c>
      <c r="J107" s="35" t="inlineStr">
        <is>
          <t>EN</t>
        </is>
      </c>
      <c r="K107" s="35" t="inlineStr">
        <is>
          <t>ja</t>
        </is>
      </c>
      <c r="L107" s="35" t="inlineStr">
        <is>
          <t>Confirmed in search index on official domain (direct fetch blocked in sandbox). VASP law passed; no VASP register yet.</t>
        </is>
      </c>
    </row>
    <row r="108" ht="26.85" customHeight="1" s="31">
      <c r="B108" s="35" t="inlineStr">
        <is>
          <t>Rwanda</t>
        </is>
      </c>
      <c r="C108" s="35" t="inlineStr">
        <is>
          <t>ESAAMLG</t>
        </is>
      </c>
      <c r="D108" s="35" t="inlineStr">
        <is>
          <t>FIU</t>
        </is>
      </c>
      <c r="E108" s="35" t="inlineStr">
        <is>
          <t>Financial Intelligence Centre Rwanda</t>
        </is>
      </c>
      <c r="F108" s="35" t="inlineStr">
        <is>
          <t>Compliance</t>
        </is>
      </c>
      <c r="G108" s="58" t="inlineStr">
        <is>
          <t>https://www.fic.gov.rw/compliance</t>
        </is>
      </c>
      <c r="H108" s="35" t="inlineStr">
        <is>
          <t>HTML</t>
        </is>
      </c>
      <c r="I108" s="35" t="inlineStr">
        <is>
          <t>Reporting-person obligations, guidelines, domestic sanctions list</t>
        </is>
      </c>
      <c r="J108" s="35" t="inlineStr">
        <is>
          <t>EN</t>
        </is>
      </c>
      <c r="K108" s="35" t="inlineStr">
        <is>
          <t>ja</t>
        </is>
      </c>
      <c r="L108" s="35" t="inlineStr">
        <is>
          <t>Confirmed in search index on official domain (direct fetch blocked in sandbox).</t>
        </is>
      </c>
    </row>
    <row r="109" ht="26.85" customHeight="1" s="31">
      <c r="B109" s="35" t="inlineStr">
        <is>
          <t>Rwanda</t>
        </is>
      </c>
      <c r="C109" s="35" t="inlineStr">
        <is>
          <t>ESAAMLG</t>
        </is>
      </c>
      <c r="D109" s="35" t="inlineStr">
        <is>
          <t>Forex/Money transfer</t>
        </is>
      </c>
      <c r="E109" s="35" t="inlineStr">
        <is>
          <t>National Bank of Rwanda</t>
        </is>
      </c>
      <c r="F109" s="35" t="inlineStr">
        <is>
          <t>Forex Bureaus</t>
        </is>
      </c>
      <c r="G109" s="58" t="inlineStr">
        <is>
          <t>https://www.bnr.rw/Forexbureaus</t>
        </is>
      </c>
      <c r="H109" s="35" t="inlineStr">
        <is>
          <t>HTML</t>
        </is>
      </c>
      <c r="I109" s="35" t="inlineStr">
        <is>
          <t>Forex bureau regulation page (~13 bureaus)</t>
        </is>
      </c>
      <c r="J109" s="35" t="inlineStr">
        <is>
          <t>EN</t>
        </is>
      </c>
      <c r="K109" s="35" t="inlineStr">
        <is>
          <t>ja</t>
        </is>
      </c>
      <c r="L109" s="35" t="inlineStr">
        <is>
          <t>Confirmed in search index on official domain (direct fetch blocked in sandbox).</t>
        </is>
      </c>
    </row>
    <row r="110" ht="26.85" customHeight="1" s="31">
      <c r="B110" s="35" t="inlineStr">
        <is>
          <t>Rwanda</t>
        </is>
      </c>
      <c r="C110" s="35" t="inlineStr">
        <is>
          <t>ESAAMLG</t>
        </is>
      </c>
      <c r="D110" s="35" t="inlineStr">
        <is>
          <t>Industry association</t>
        </is>
      </c>
      <c r="E110" s="35" t="inlineStr">
        <is>
          <t>Rwanda Bankers Association</t>
        </is>
      </c>
      <c r="F110" s="35" t="inlineStr">
        <is>
          <t>RBA team page</t>
        </is>
      </c>
      <c r="G110" s="58" t="inlineStr">
        <is>
          <t>https://rba.rw/our-team-2/</t>
        </is>
      </c>
      <c r="H110" s="35" t="inlineStr">
        <is>
          <t>HTML</t>
        </is>
      </c>
      <c r="I110" s="35" t="inlineStr">
        <is>
          <t>Association of all BNR-licensed banks (~12 members)</t>
        </is>
      </c>
      <c r="J110" s="35" t="inlineStr">
        <is>
          <t>EN</t>
        </is>
      </c>
      <c r="K110" s="35" t="inlineStr">
        <is>
          <t>ja</t>
        </is>
      </c>
      <c r="L110" s="35" t="inlineStr">
        <is>
          <t>Confirmed in search index on official domain (direct fetch blocked in sandbox).</t>
        </is>
      </c>
    </row>
    <row r="111" ht="39.55" customHeight="1" s="31">
      <c r="B111" s="35" t="inlineStr">
        <is>
          <t>Rwanda</t>
        </is>
      </c>
      <c r="C111" s="35" t="inlineStr">
        <is>
          <t>ESAAMLG</t>
        </is>
      </c>
      <c r="D111" s="35" t="inlineStr">
        <is>
          <t>Insurance</t>
        </is>
      </c>
      <c r="E111" s="35" t="inlineStr">
        <is>
          <t>National Bank of Rwanda</t>
        </is>
      </c>
      <c r="F111" s="35" t="inlineStr">
        <is>
          <t>List of Licensed Insurers (updated Jan 2025)</t>
        </is>
      </c>
      <c r="G111" s="58" t="inlineStr">
        <is>
          <t>https://www.bnr.rw/documents/LIST_OF_LICENSED_INSURERS-UPDATED-Jan_2025_aQrLsOj.pdf</t>
        </is>
      </c>
      <c r="H111" s="35" t="inlineStr">
        <is>
          <t>PDF</t>
        </is>
      </c>
      <c r="I111" s="35" t="inlineStr">
        <is>
          <t>18 insurers with emails</t>
        </is>
      </c>
      <c r="J111" s="35" t="inlineStr">
        <is>
          <t>EN</t>
        </is>
      </c>
      <c r="K111" s="35" t="inlineStr">
        <is>
          <t>ja</t>
        </is>
      </c>
      <c r="L111" s="35" t="inlineStr">
        <is>
          <t>Confirmed in search index on official domain (direct fetch blocked in sandbox). Contact details YES.</t>
        </is>
      </c>
    </row>
    <row r="112" ht="26.85" customHeight="1" s="31">
      <c r="B112" s="35" t="inlineStr">
        <is>
          <t>Rwanda</t>
        </is>
      </c>
      <c r="C112" s="35" t="inlineStr">
        <is>
          <t>ESAAMLG</t>
        </is>
      </c>
      <c r="D112" s="35" t="inlineStr">
        <is>
          <t>Insurance</t>
        </is>
      </c>
      <c r="E112" s="35" t="inlineStr">
        <is>
          <t>National Bank of Rwanda</t>
        </is>
      </c>
      <c r="F112" s="35" t="inlineStr">
        <is>
          <t>List of Licensed Insurance and Reinsurance Brokers (April 2026)</t>
        </is>
      </c>
      <c r="G112" s="58" t="inlineStr">
        <is>
          <t>https://www.bnr.rw/documents/LIST_OF_LICENSED_INSURANCE_AND_REINSURANCE_BROKERS-April_2026_DG6v9R9.pdf</t>
        </is>
      </c>
      <c r="H112" s="35" t="inlineStr">
        <is>
          <t>PDF</t>
        </is>
      </c>
      <c r="I112" s="35" t="inlineStr">
        <is>
          <t>Licensed insurance/reinsurance brokers</t>
        </is>
      </c>
      <c r="J112" s="35" t="inlineStr">
        <is>
          <t>EN</t>
        </is>
      </c>
      <c r="K112" s="35" t="inlineStr">
        <is>
          <t>ja</t>
        </is>
      </c>
      <c r="L112" s="35" t="inlineStr">
        <is>
          <t>Confirmed in search index on official domain (direct fetch blocked in sandbox).</t>
        </is>
      </c>
    </row>
    <row r="113" ht="26.85" customHeight="1" s="31">
      <c r="B113" s="35" t="inlineStr">
        <is>
          <t>Rwanda</t>
        </is>
      </c>
      <c r="C113" s="35" t="inlineStr">
        <is>
          <t>ESAAMLG</t>
        </is>
      </c>
      <c r="D113" s="35" t="inlineStr">
        <is>
          <t>Microfinance</t>
        </is>
      </c>
      <c r="E113" s="35" t="inlineStr">
        <is>
          <t>National Bank of Rwanda</t>
        </is>
      </c>
      <c r="F113" s="35" t="inlineStr">
        <is>
          <t>List of Deposit-Taking Microfinance Institutions supervised by BNR</t>
        </is>
      </c>
      <c r="G113" s="58" t="inlineStr">
        <is>
          <t>https://www.bnr.rw/documents/LIST_OF_DEPOSIT_TAKING_MICROFINANCE_INSTITUTIONS_SUPERVISED_BY_BNR.pdf</t>
        </is>
      </c>
      <c r="H113" s="35" t="inlineStr">
        <is>
          <t>PDF</t>
        </is>
      </c>
      <c r="I113" s="35" t="inlineStr">
        <is>
          <t>Deposit-taking MFIs and SACCOs by location</t>
        </is>
      </c>
      <c r="J113" s="35" t="inlineStr">
        <is>
          <t>EN</t>
        </is>
      </c>
      <c r="K113" s="35" t="inlineStr">
        <is>
          <t>ja</t>
        </is>
      </c>
      <c r="L113" s="35" t="inlineStr">
        <is>
          <t>Confirmed in search index on official domain (direct fetch blocked in sandbox).</t>
        </is>
      </c>
    </row>
    <row r="114" ht="26.85" customHeight="1" s="31">
      <c r="B114" s="35" t="inlineStr">
        <is>
          <t>Rwanda</t>
        </is>
      </c>
      <c r="C114" s="35" t="inlineStr">
        <is>
          <t>ESAAMLG</t>
        </is>
      </c>
      <c r="D114" s="35" t="inlineStr">
        <is>
          <t>Microfinance</t>
        </is>
      </c>
      <c r="E114" s="35" t="inlineStr">
        <is>
          <t>National Bank of Rwanda</t>
        </is>
      </c>
      <c r="F114" s="35" t="inlineStr">
        <is>
          <t>Licensed NDFSPs as of 1 October 2025</t>
        </is>
      </c>
      <c r="G114" s="58" t="inlineStr">
        <is>
          <t>https://www.bnr.rw/documents/Licensed_NDFSPs_as_of_01st__October_2025_002_for_Update_to_Website_Final.pdf</t>
        </is>
      </c>
      <c r="H114" s="35" t="inlineStr">
        <is>
          <t>PDF</t>
        </is>
      </c>
      <c r="I114" s="35" t="inlineStr">
        <is>
          <t>Non-deposit-taking financial service providers (lenders, etc.)</t>
        </is>
      </c>
      <c r="J114" s="35" t="inlineStr">
        <is>
          <t>EN</t>
        </is>
      </c>
      <c r="K114" s="35" t="inlineStr">
        <is>
          <t>ja</t>
        </is>
      </c>
      <c r="L114" s="35" t="inlineStr">
        <is>
          <t>Confirmed in search index on official domain (direct fetch blocked in sandbox).</t>
        </is>
      </c>
    </row>
    <row r="115" ht="26.85" customHeight="1" s="31">
      <c r="B115" s="35" t="inlineStr">
        <is>
          <t>Rwanda</t>
        </is>
      </c>
      <c r="C115" s="35" t="inlineStr">
        <is>
          <t>ESAAMLG</t>
        </is>
      </c>
      <c r="D115" s="35" t="inlineStr">
        <is>
          <t>Payments/E-money</t>
        </is>
      </c>
      <c r="E115" s="35" t="inlineStr">
        <is>
          <t>National Bank of Rwanda</t>
        </is>
      </c>
      <c r="F115" s="35" t="inlineStr">
        <is>
          <t>Licensed Institutions - November 2025</t>
        </is>
      </c>
      <c r="G115" s="58" t="inlineStr">
        <is>
          <t>https://www.bnr.rw/documents/Licensed_Institutions_-_November_2025_96EyafM.pdf</t>
        </is>
      </c>
      <c r="H115" s="35" t="inlineStr">
        <is>
          <t>PDF</t>
        </is>
      </c>
      <c r="I115" s="35" t="inlineStr">
        <is>
          <t>PSPs, e-money issuers (MTN MoMo, Airtel), aggregators, remittance cos, forex bureaus, PSO</t>
        </is>
      </c>
      <c r="J115" s="35" t="inlineStr">
        <is>
          <t>EN</t>
        </is>
      </c>
      <c r="K115" s="35" t="inlineStr">
        <is>
          <t>ja</t>
        </is>
      </c>
      <c r="L115" s="35" t="inlineStr">
        <is>
          <t>Confirmed in search index on official domain (direct fetch blocked in sandbox).</t>
        </is>
      </c>
    </row>
    <row r="116" ht="39.55" customHeight="1" s="31">
      <c r="B116" s="35" t="inlineStr">
        <is>
          <t>Rwanda</t>
        </is>
      </c>
      <c r="C116" s="35" t="inlineStr">
        <is>
          <t>ESAAMLG</t>
        </is>
      </c>
      <c r="D116" s="35" t="inlineStr">
        <is>
          <t>Professional body</t>
        </is>
      </c>
      <c r="E116" s="35" t="inlineStr">
        <is>
          <t>ICPAR</t>
        </is>
      </c>
      <c r="F116" s="35" t="inlineStr">
        <is>
          <t>List of Firms 2026</t>
        </is>
      </c>
      <c r="G116" s="58" t="inlineStr">
        <is>
          <t>https://icparwanda.com/wp-content/uploads/2025/12/List-of-Firms-2026.pdf</t>
        </is>
      </c>
      <c r="H116" s="35" t="inlineStr">
        <is>
          <t>PDF</t>
        </is>
      </c>
      <c r="I116" s="35" t="inlineStr">
        <is>
          <t>Licensed audit/accounting firms with managing partner, phone, email</t>
        </is>
      </c>
      <c r="J116" s="35" t="inlineStr">
        <is>
          <t>EN</t>
        </is>
      </c>
      <c r="K116" s="35" t="inlineStr">
        <is>
          <t>ja</t>
        </is>
      </c>
      <c r="L116" s="35" t="inlineStr">
        <is>
          <t>Confirmed in search index on official domain (direct fetch blocked in sandbox). Contact details YES.</t>
        </is>
      </c>
    </row>
    <row r="117" ht="26.85" customHeight="1" s="31">
      <c r="B117" s="35" t="inlineStr">
        <is>
          <t>Rwanda</t>
        </is>
      </c>
      <c r="C117" s="35" t="inlineStr">
        <is>
          <t>ESAAMLG</t>
        </is>
      </c>
      <c r="D117" s="35" t="inlineStr">
        <is>
          <t>Professional body</t>
        </is>
      </c>
      <c r="E117" s="35" t="inlineStr">
        <is>
          <t>Rwanda Bar Association</t>
        </is>
      </c>
      <c r="F117" s="35" t="inlineStr">
        <is>
          <t>Rwanda Bar Association (list of advocates)</t>
        </is>
      </c>
      <c r="G117" s="58" t="inlineStr">
        <is>
          <t>https://www.rwandabar.org.rw</t>
        </is>
      </c>
      <c r="H117" s="35" t="inlineStr">
        <is>
          <t>HTML</t>
        </is>
      </c>
      <c r="I117" s="35" t="inlineStr">
        <is>
          <t>List of practising advocates and interns</t>
        </is>
      </c>
      <c r="J117" s="35" t="inlineStr">
        <is>
          <t>EN</t>
        </is>
      </c>
      <c r="K117" s="35" t="inlineStr">
        <is>
          <t>nein</t>
        </is>
      </c>
      <c r="L117" s="35" t="inlineStr">
        <is>
          <t>Domain from practitioner profile; not confirmed.</t>
        </is>
      </c>
    </row>
    <row r="118" ht="39.55" customHeight="1" s="31">
      <c r="B118" s="35" t="inlineStr">
        <is>
          <t>Gabon</t>
        </is>
      </c>
      <c r="C118" s="35" t="inlineStr">
        <is>
          <t>COBAC/BEAC</t>
        </is>
      </c>
      <c r="D118" s="35" t="inlineStr">
        <is>
          <t>Banks</t>
        </is>
      </c>
      <c r="E118" s="35" t="inlineStr">
        <is>
          <t>COBAC</t>
        </is>
      </c>
      <c r="F118" s="35" t="inlineStr">
        <is>
          <t>COBAC - Banque Internationale pour le Commerce et l'Industrie du Gabon (directory)</t>
        </is>
      </c>
      <c r="G118" s="58" t="inlineStr">
        <is>
          <t>http://sgcobac.org/jcms/ess_7052/fr/banque-internationale-pour-le-commerce-et-l-industrie-du-gabon?opLetterSearch=true&amp;directoryLetter=B&amp;memberId=&amp;directory_start=10&amp;directory_pageSize=20</t>
        </is>
      </c>
      <c r="H118" s="35" t="inlineStr">
        <is>
          <t>HTML</t>
        </is>
      </c>
      <c r="I118" s="35" t="inlineStr">
        <is>
          <t>COBAC directory entries for Gabonese banks (~10 banks)</t>
        </is>
      </c>
      <c r="J118" s="35" t="inlineStr">
        <is>
          <t>FR</t>
        </is>
      </c>
      <c r="K118" s="35" t="inlineStr">
        <is>
          <t>ja</t>
        </is>
      </c>
      <c r="L118" s="35" t="inlineStr">
        <is>
          <t>Confirmed in search index on official domain (direct fetch blocked in sandbox).</t>
        </is>
      </c>
    </row>
    <row r="119" ht="26.85" customHeight="1" s="31">
      <c r="B119" s="35" t="inlineStr">
        <is>
          <t>Gabon</t>
        </is>
      </c>
      <c r="C119" s="35" t="inlineStr">
        <is>
          <t>GABAC</t>
        </is>
      </c>
      <c r="D119" s="35" t="inlineStr">
        <is>
          <t>FATF/regional</t>
        </is>
      </c>
      <c r="E119" s="35" t="inlineStr">
        <is>
          <t>FATF / GABAC</t>
        </is>
      </c>
      <c r="F119" s="35" t="inlineStr">
        <is>
          <t>Gabon 2nd enhanced follow-up report 2026</t>
        </is>
      </c>
      <c r="G119" s="58" t="inlineStr">
        <is>
          <t>https://www.fatf-gafi.org/content/dam/fatf-gafi/fsrb-fur/gabon-fur-2026.pdf.coredownload.inline.pdf</t>
        </is>
      </c>
      <c r="H119" s="35" t="inlineStr">
        <is>
          <t>PDF</t>
        </is>
      </c>
      <c r="I119" s="35" t="inlineStr">
        <is>
          <t>AML/CFT follow-up with re-rating request</t>
        </is>
      </c>
      <c r="J119" s="35" t="inlineStr">
        <is>
          <t>FR</t>
        </is>
      </c>
      <c r="K119" s="35" t="inlineStr">
        <is>
          <t>ja</t>
        </is>
      </c>
      <c r="L119" s="35" t="inlineStr">
        <is>
          <t>Confirmed in search index on official domain (direct fetch blocked in sandbox).</t>
        </is>
      </c>
    </row>
    <row r="120" ht="26.85" customHeight="1" s="31">
      <c r="B120" s="35" t="inlineStr">
        <is>
          <t>Gabon</t>
        </is>
      </c>
      <c r="C120" s="35" t="inlineStr">
        <is>
          <t>COBAC/BEAC</t>
        </is>
      </c>
      <c r="D120" s="35" t="inlineStr">
        <is>
          <t>FIU</t>
        </is>
      </c>
      <c r="E120" s="35" t="inlineStr">
        <is>
          <t>ANIF Gabon</t>
        </is>
      </c>
      <c r="F120" s="35" t="inlineStr">
        <is>
          <t>ANIF Gabon - no official website located</t>
        </is>
      </c>
      <c r="G120" s="35" t="n"/>
      <c r="H120" s="35" t="inlineStr">
        <is>
          <t>HTML</t>
        </is>
      </c>
      <c r="I120" s="35" t="inlineStr">
        <is>
          <t>FIU reorganised by decree (Nov 2024 / Dec 2025)</t>
        </is>
      </c>
      <c r="J120" s="35" t="inlineStr">
        <is>
          <t>FR</t>
        </is>
      </c>
      <c r="K120" s="35" t="inlineStr">
        <is>
          <t>nein</t>
        </is>
      </c>
      <c r="L120" s="35" t="inlineStr">
        <is>
          <t>No official domain found.</t>
        </is>
      </c>
    </row>
    <row r="121" ht="26.85" customHeight="1" s="31">
      <c r="B121" s="35" t="inlineStr">
        <is>
          <t>Gabon</t>
        </is>
      </c>
      <c r="C121" s="35" t="inlineStr">
        <is>
          <t>COBAC/BEAC</t>
        </is>
      </c>
      <c r="D121" s="35" t="inlineStr">
        <is>
          <t>Industry association</t>
        </is>
      </c>
      <c r="E121" s="35" t="inlineStr">
        <is>
          <t>APEC Gabon</t>
        </is>
      </c>
      <c r="F121" s="35" t="inlineStr">
        <is>
          <t>APEC Gabon</t>
        </is>
      </c>
      <c r="G121" s="58" t="inlineStr">
        <is>
          <t>https://www.apecgabon.com</t>
        </is>
      </c>
      <c r="H121" s="35" t="inlineStr">
        <is>
          <t>HTML</t>
        </is>
      </c>
      <c r="I121" s="35" t="inlineStr">
        <is>
          <t>Bankers' association member list</t>
        </is>
      </c>
      <c r="J121" s="35" t="inlineStr">
        <is>
          <t>FR</t>
        </is>
      </c>
      <c r="K121" s="35" t="inlineStr">
        <is>
          <t>nein</t>
        </is>
      </c>
      <c r="L121" s="35" t="inlineStr">
        <is>
          <t>Domain cited via Wikipedia; not confirmed.</t>
        </is>
      </c>
    </row>
    <row r="122" ht="52.2" customHeight="1" s="31">
      <c r="B122" s="35" t="inlineStr">
        <is>
          <t>Gabon</t>
        </is>
      </c>
      <c r="C122" s="35" t="inlineStr">
        <is>
          <t>COBAC/BEAC</t>
        </is>
      </c>
      <c r="D122" s="35" t="inlineStr">
        <is>
          <t>Professional body</t>
        </is>
      </c>
      <c r="E122" s="35" t="inlineStr">
        <is>
          <t>ONEC Gabon</t>
        </is>
      </c>
      <c r="F122" s="35" t="inlineStr">
        <is>
          <t>ONEC tableau de l'ordre 2022</t>
        </is>
      </c>
      <c r="G122" s="58" t="inlineStr">
        <is>
          <t>https://onecgabon.org/wp-content/uploads/pdf/ONEC_tableau_de_lordre_2022.pdf</t>
        </is>
      </c>
      <c r="H122" s="35" t="inlineStr">
        <is>
          <t>PDF</t>
        </is>
      </c>
      <c r="I122" s="35" t="inlineStr">
        <is>
          <t>Registered chartered accountants &amp; firms</t>
        </is>
      </c>
      <c r="J122" s="35" t="inlineStr">
        <is>
          <t>FR</t>
        </is>
      </c>
      <c r="K122" s="35" t="inlineStr">
        <is>
          <t>ja</t>
        </is>
      </c>
      <c r="L122" s="35" t="inlineStr">
        <is>
          <t>Confirmed in search index on official domain (direct fetch blocked in sandbox). Newer (3rd edition) tableau announced in press.</t>
        </is>
      </c>
    </row>
    <row r="123" ht="39.55" customHeight="1" s="31">
      <c r="B123" s="35" t="inlineStr">
        <is>
          <t>Mali</t>
        </is>
      </c>
      <c r="C123" s="35" t="inlineStr">
        <is>
          <t>BCEAO</t>
        </is>
      </c>
      <c r="D123" s="35" t="inlineStr">
        <is>
          <t>Banks</t>
        </is>
      </c>
      <c r="E123" s="35" t="inlineStr">
        <is>
          <t>Commission Bancaire de l'UMOA</t>
        </is>
      </c>
      <c r="F123" s="35" t="inlineStr">
        <is>
          <t>Liste EC Mali 2026</t>
        </is>
      </c>
      <c r="G123" s="58" t="inlineStr">
        <is>
          <t>https://www.cb-umoa.org/sites/default/files/Liste%20EC%20Mali_2026.pdf</t>
        </is>
      </c>
      <c r="H123" s="35" t="inlineStr">
        <is>
          <t>PDF</t>
        </is>
      </c>
      <c r="I123" s="35" t="inlineStr">
        <is>
          <t>Credit institutions licensed in Mali (14 banks + FIs)</t>
        </is>
      </c>
      <c r="J123" s="35" t="inlineStr">
        <is>
          <t>FR</t>
        </is>
      </c>
      <c r="K123" s="35" t="inlineStr">
        <is>
          <t>ja</t>
        </is>
      </c>
      <c r="L123" s="35" t="inlineStr">
        <is>
          <t>Confirmed in search index on official domain (direct fetch blocked in sandbox). 2025 version: Liste%20Mali%202025.pdf</t>
        </is>
      </c>
    </row>
    <row r="124" ht="26.85" customHeight="1" s="31">
      <c r="B124" s="35" t="inlineStr">
        <is>
          <t>Mali</t>
        </is>
      </c>
      <c r="C124" s="35" t="inlineStr">
        <is>
          <t>BCEAO</t>
        </is>
      </c>
      <c r="D124" s="35" t="inlineStr">
        <is>
          <t>FIU</t>
        </is>
      </c>
      <c r="E124" s="35" t="inlineStr">
        <is>
          <t>CENTIF Mali</t>
        </is>
      </c>
      <c r="F124" s="35" t="inlineStr">
        <is>
          <t>Présentation - CENTIF Mali</t>
        </is>
      </c>
      <c r="G124" s="58" t="inlineStr">
        <is>
          <t>https://centif.ml/presentation/</t>
        </is>
      </c>
      <c r="H124" s="35" t="inlineStr">
        <is>
          <t>HTML</t>
        </is>
      </c>
      <c r="I124" s="35" t="inlineStr">
        <is>
          <t>FIU; mandate and reporting</t>
        </is>
      </c>
      <c r="J124" s="35" t="inlineStr">
        <is>
          <t>FR</t>
        </is>
      </c>
      <c r="K124" s="35" t="inlineStr">
        <is>
          <t>ja</t>
        </is>
      </c>
      <c r="L124" s="35" t="inlineStr">
        <is>
          <t>Confirmed in search index on official domain (direct fetch blocked in sandbox).</t>
        </is>
      </c>
    </row>
    <row r="125" ht="26.85" customHeight="1" s="31">
      <c r="B125" s="35" t="inlineStr">
        <is>
          <t>Mali</t>
        </is>
      </c>
      <c r="C125" s="35" t="inlineStr">
        <is>
          <t>BCEAO</t>
        </is>
      </c>
      <c r="D125" s="35" t="inlineStr">
        <is>
          <t>Payments/E-money</t>
        </is>
      </c>
      <c r="E125" s="35" t="inlineStr">
        <is>
          <t>BCEAO</t>
        </is>
      </c>
      <c r="F125" s="35" t="inlineStr">
        <is>
          <t>5 - Liste Mali_2026</t>
        </is>
      </c>
      <c r="G125" s="58" t="inlineStr">
        <is>
          <t>https://www.bceao.int/sites/default/files/inline-files/5%20-%20Liste%20Mali_2026.pdf</t>
        </is>
      </c>
      <c r="H125" s="35" t="inlineStr">
        <is>
          <t>PDF</t>
        </is>
      </c>
      <c r="I125" s="35" t="inlineStr">
        <is>
          <t>E-money issuers in Mali (Orange Finances Mobiles Mali, Sama Money)</t>
        </is>
      </c>
      <c r="J125" s="35" t="inlineStr">
        <is>
          <t>FR</t>
        </is>
      </c>
      <c r="K125" s="35" t="inlineStr">
        <is>
          <t>ja</t>
        </is>
      </c>
      <c r="L125" s="35" t="inlineStr">
        <is>
          <t>Confirmed in search index on official domain (direct fetch blocked in sandbox).</t>
        </is>
      </c>
    </row>
    <row r="126" ht="26.85" customHeight="1" s="31">
      <c r="B126" s="35" t="inlineStr">
        <is>
          <t>Togo</t>
        </is>
      </c>
      <c r="C126" s="35" t="inlineStr">
        <is>
          <t>BCEAO</t>
        </is>
      </c>
      <c r="D126" s="35" t="inlineStr">
        <is>
          <t>Banks</t>
        </is>
      </c>
      <c r="E126" s="35" t="inlineStr">
        <is>
          <t>Commission Bancaire de l'UMOA</t>
        </is>
      </c>
      <c r="F126" s="35" t="inlineStr">
        <is>
          <t>Liste Togo 2025</t>
        </is>
      </c>
      <c r="G126" s="58" t="inlineStr">
        <is>
          <t>https://cb-umoa.org/sites/default/files/Liste%20Togo%202025.pdf</t>
        </is>
      </c>
      <c r="H126" s="35" t="inlineStr">
        <is>
          <t>PDF</t>
        </is>
      </c>
      <c r="I126" s="35" t="inlineStr">
        <is>
          <t>11 banks + 3 branches + 3 FIs licensed in Togo</t>
        </is>
      </c>
      <c r="J126" s="35" t="inlineStr">
        <is>
          <t>FR</t>
        </is>
      </c>
      <c r="K126" s="35" t="inlineStr">
        <is>
          <t>ja</t>
        </is>
      </c>
      <c r="L126" s="35" t="inlineStr">
        <is>
          <t>Confirmed in search index on official domain (direct fetch blocked in sandbox).</t>
        </is>
      </c>
    </row>
    <row r="127" ht="26.85" customHeight="1" s="31">
      <c r="B127" s="35" t="inlineStr">
        <is>
          <t>Togo</t>
        </is>
      </c>
      <c r="C127" s="35" t="inlineStr">
        <is>
          <t>BCEAO</t>
        </is>
      </c>
      <c r="D127" s="35" t="inlineStr">
        <is>
          <t>FIU</t>
        </is>
      </c>
      <c r="E127" s="35" t="inlineStr">
        <is>
          <t>CENTIF Togo</t>
        </is>
      </c>
      <c r="F127" s="35" t="inlineStr">
        <is>
          <t>Centif.tg</t>
        </is>
      </c>
      <c r="G127" s="58" t="inlineStr">
        <is>
          <t>https://www.centif.tg/</t>
        </is>
      </c>
      <c r="H127" s="35" t="inlineStr">
        <is>
          <t>HTML</t>
        </is>
      </c>
      <c r="I127" s="35" t="inlineStr">
        <is>
          <t>FIU; activity reports and legal texts</t>
        </is>
      </c>
      <c r="J127" s="35" t="inlineStr">
        <is>
          <t>FR</t>
        </is>
      </c>
      <c r="K127" s="35" t="inlineStr">
        <is>
          <t>ja</t>
        </is>
      </c>
      <c r="L127" s="35" t="inlineStr">
        <is>
          <t>Confirmed in search index on official domain (direct fetch blocked in sandbox).</t>
        </is>
      </c>
    </row>
    <row r="128" ht="26.85" customHeight="1" s="31">
      <c r="B128" s="35" t="inlineStr">
        <is>
          <t>Republic of Congo</t>
        </is>
      </c>
      <c r="C128" s="35" t="inlineStr">
        <is>
          <t>COBAC/BEAC</t>
        </is>
      </c>
      <c r="D128" s="35" t="inlineStr">
        <is>
          <t>Banks</t>
        </is>
      </c>
      <c r="E128" s="35" t="inlineStr">
        <is>
          <t>COBAC</t>
        </is>
      </c>
      <c r="F128" s="35" t="inlineStr">
        <is>
          <t>COBAC - Ecobank Congo (directory)</t>
        </is>
      </c>
      <c r="G128" s="58" t="inlineStr">
        <is>
          <t>http://www.sgcobac.org/jcms/ess_6863/en/ecobank-congo</t>
        </is>
      </c>
      <c r="H128" s="35" t="inlineStr">
        <is>
          <t>HTML</t>
        </is>
      </c>
      <c r="I128" s="35" t="inlineStr">
        <is>
          <t>COBAC directory entries for Congolese banks (~11 banks)</t>
        </is>
      </c>
      <c r="J128" s="35" t="inlineStr">
        <is>
          <t>FR</t>
        </is>
      </c>
      <c r="K128" s="35" t="inlineStr">
        <is>
          <t>ja</t>
        </is>
      </c>
      <c r="L128" s="35" t="inlineStr">
        <is>
          <t>Confirmed in search index on official domain (direct fetch blocked in sandbox).</t>
        </is>
      </c>
    </row>
    <row r="129" ht="26.85" customHeight="1" s="31">
      <c r="B129" s="35" t="inlineStr">
        <is>
          <t>Republic of Congo</t>
        </is>
      </c>
      <c r="C129" s="35" t="inlineStr">
        <is>
          <t>GABAC</t>
        </is>
      </c>
      <c r="D129" s="35" t="inlineStr">
        <is>
          <t>FATF/regional</t>
        </is>
      </c>
      <c r="E129" s="35" t="inlineStr">
        <is>
          <t>GABAC</t>
        </is>
      </c>
      <c r="F129" s="35" t="inlineStr">
        <is>
          <t>Mutual Evaluation Report April 2022 - Congo</t>
        </is>
      </c>
      <c r="G129" s="58" t="inlineStr">
        <is>
          <t>https://gabac.org/wp-content/uploads/2022/10/REM-CONGO-ANGLAIS.pdf</t>
        </is>
      </c>
      <c r="H129" s="35" t="inlineStr">
        <is>
          <t>PDF</t>
        </is>
      </c>
      <c r="I129" s="35" t="inlineStr">
        <is>
          <t>Congo MER - lists obliged sectors and gaps</t>
        </is>
      </c>
      <c r="J129" s="35" t="inlineStr">
        <is>
          <t>EN</t>
        </is>
      </c>
      <c r="K129" s="35" t="inlineStr">
        <is>
          <t>ja</t>
        </is>
      </c>
      <c r="L129" s="35" t="inlineStr">
        <is>
          <t>Confirmed in search index on official domain (direct fetch blocked in sandbox).</t>
        </is>
      </c>
    </row>
    <row r="130" ht="26.85" customHeight="1" s="31">
      <c r="B130" s="35" t="inlineStr">
        <is>
          <t>Republic of Congo</t>
        </is>
      </c>
      <c r="C130" s="35" t="inlineStr">
        <is>
          <t>COBAC/BEAC</t>
        </is>
      </c>
      <c r="D130" s="35" t="inlineStr">
        <is>
          <t>FIU</t>
        </is>
      </c>
      <c r="E130" s="35" t="inlineStr">
        <is>
          <t>ANIF Congo</t>
        </is>
      </c>
      <c r="F130" s="35" t="inlineStr">
        <is>
          <t>ANIF Congo - no official website located</t>
        </is>
      </c>
      <c r="G130" s="35" t="n"/>
      <c r="H130" s="35" t="inlineStr">
        <is>
          <t>HTML</t>
        </is>
      </c>
      <c r="I130" s="35" t="inlineStr">
        <is>
          <t>FIU (DG Fred Ursus Otsoa Andely); EU SecFin programme 2026-28</t>
        </is>
      </c>
      <c r="J130" s="35" t="inlineStr">
        <is>
          <t>FR</t>
        </is>
      </c>
      <c r="K130" s="35" t="inlineStr">
        <is>
          <t>nein</t>
        </is>
      </c>
      <c r="L130" s="35" t="inlineStr">
        <is>
          <t>No official domain found.</t>
        </is>
      </c>
    </row>
    <row r="131" s="31">
      <c r="B131" s="59" t="inlineStr">
        <is>
          <t>Ghana</t>
        </is>
      </c>
      <c r="C131" s="59" t="inlineStr">
        <is>
          <t>GIABA</t>
        </is>
      </c>
      <c r="D131" s="59" t="inlineStr">
        <is>
          <t>Mining/Extractives</t>
        </is>
      </c>
      <c r="E131" s="59" t="inlineStr">
        <is>
          <t>Ghana Chamber of Mines</t>
        </is>
      </c>
      <c r="F131" s="59" t="inlineStr">
        <is>
          <t>Represented Members Level A (Mitgliederliste)</t>
        </is>
      </c>
      <c r="G131" s="60" t="inlineStr">
        <is>
          <t>https://ghanachamberofmines.org/our-members/represented-members-level-a/</t>
        </is>
      </c>
      <c r="H131" s="59" t="inlineStr">
        <is>
          <t>HTML</t>
        </is>
      </c>
      <c r="I131" s="59" t="inlineStr">
        <is>
          <t>Produzierende Bergbaufirmen (Gold, Mangan, Bauxit), mit Firmenadressen; weitere Seiten: Affiliate Members, Associate Member Institutions</t>
        </is>
      </c>
      <c r="J131" s="59" t="inlineStr">
        <is>
          <t>EN</t>
        </is>
      </c>
      <c r="K131" s="59" t="inlineStr">
        <is>
          <t>ja</t>
        </is>
      </c>
      <c r="L131" s="59" t="inlineStr">
        <is>
          <t>Beste Einstiegsliste Ghana: große Produzenten mit Compliance-Abteilungen. Priorität B. Per Websuche auf der offiziellen Domain bestätigt (direkter Abruf in der Sandbox blockiert).</t>
        </is>
      </c>
    </row>
    <row r="132" s="31">
      <c r="B132" s="59" t="inlineStr">
        <is>
          <t>Zambia</t>
        </is>
      </c>
      <c r="C132" s="59" t="inlineStr">
        <is>
          <t>ESAAMLG</t>
        </is>
      </c>
      <c r="D132" s="59" t="inlineStr">
        <is>
          <t>Mining/Extractives</t>
        </is>
      </c>
      <c r="E132" s="59" t="inlineStr">
        <is>
          <t>Zambia Chamber of Mines</t>
        </is>
      </c>
      <c r="F132" s="59" t="inlineStr">
        <is>
          <t>Members (Klassen A–D)</t>
        </is>
      </c>
      <c r="G132" s="60" t="inlineStr">
        <is>
          <t>http://mines.org.zm/members-2/</t>
        </is>
      </c>
      <c r="H132" s="59" t="inlineStr">
        <is>
          <t>HTML</t>
        </is>
      </c>
      <c r="I132" s="59" t="inlineStr">
        <is>
          <t>Kupferminen (z. B. Klasse A/B) sowie Zulieferer und Dienstleister (Klasse D)</t>
        </is>
      </c>
      <c r="J132" s="59" t="inlineStr">
        <is>
          <t>EN</t>
        </is>
      </c>
      <c r="K132" s="59" t="inlineStr">
        <is>
          <t>ja</t>
        </is>
      </c>
      <c r="L132" s="59" t="inlineStr">
        <is>
          <t>Liste teils veraltet (Council-Seite nicht aktuell); vor Kontaktaufnahme Firmenwebsite prüfen. Priorität B. Per Websuche auf der offiziellen Domain bestätigt (direkter Abruf in der Sandbox blockiert).</t>
        </is>
      </c>
    </row>
    <row r="133" s="31">
      <c r="B133" s="59" t="inlineStr">
        <is>
          <t>South Africa</t>
        </is>
      </c>
      <c r="C133" s="59" t="inlineStr">
        <is>
          <t>ESAAMLG</t>
        </is>
      </c>
      <c r="D133" s="59" t="inlineStr">
        <is>
          <t>Mining/Extractives</t>
        </is>
      </c>
      <c r="E133" s="59" t="inlineStr">
        <is>
          <t>Minerals Council South Africa</t>
        </is>
      </c>
      <c r="F133" s="59" t="inlineStr">
        <is>
          <t>Meet our Members</t>
        </is>
      </c>
      <c r="G133" s="60" t="inlineStr">
        <is>
          <t>https://www.mineralscouncil.org.za/about/members</t>
        </is>
      </c>
      <c r="H133" s="59" t="inlineStr">
        <is>
          <t>HTML</t>
        </is>
      </c>
      <c r="I133" s="59" t="inlineStr">
        <is>
          <t>Rund 70 direkte Mitglieder (Kohle, Platin, Gold, Eisenerz, Mangan, Chrom, Diamanten) plus Verbände</t>
        </is>
      </c>
      <c r="J133" s="59" t="inlineStr">
        <is>
          <t>EN</t>
        </is>
      </c>
      <c r="K133" s="59" t="inlineStr">
        <is>
          <t>ja</t>
        </is>
      </c>
      <c r="L133" s="59" t="inlineStr">
        <is>
          <t>Große Konzerne haben eigene Compliance-Teams; eher mittelgroße Mitglieder ansprechen. Priorität B. Per Websuche auf der offiziellen Domain bestätigt (direkter Abruf in der Sandbox blockiert).</t>
        </is>
      </c>
    </row>
    <row r="134" s="31">
      <c r="B134" s="59" t="inlineStr">
        <is>
          <t>Botswana</t>
        </is>
      </c>
      <c r="C134" s="59" t="inlineStr">
        <is>
          <t>ESAAMLG</t>
        </is>
      </c>
      <c r="D134" s="59" t="inlineStr">
        <is>
          <t>Mining/Extractives</t>
        </is>
      </c>
      <c r="E134" s="59" t="inlineStr">
        <is>
          <t>Botswana Chamber of Mines</t>
        </is>
      </c>
      <c r="F134" s="59" t="inlineStr">
        <is>
          <t>Our Members</t>
        </is>
      </c>
      <c r="G134" s="60" t="inlineStr">
        <is>
          <t>https://www.bcm.org.bw/our-members/</t>
        </is>
      </c>
      <c r="H134" s="59" t="inlineStr">
        <is>
          <t>HTML</t>
        </is>
      </c>
      <c r="I134" s="59" t="inlineStr">
        <is>
          <t>Ca. 36 Mitglieder: Minen, Explorationsfirmen, Auftragnehmer, Zulieferer; je Mitglied eine Profilseite</t>
        </is>
      </c>
      <c r="J134" s="59" t="inlineStr">
        <is>
          <t>EN</t>
        </is>
      </c>
      <c r="K134" s="59" t="inlineStr">
        <is>
          <t>ja</t>
        </is>
      </c>
      <c r="L134" s="59" t="inlineStr">
        <is>
          <t>Priorität B. Per Websuche auf der offiziellen Domain bestätigt (direkter Abruf in der Sandbox blockiert).</t>
        </is>
      </c>
    </row>
    <row r="135" s="31">
      <c r="B135" s="59" t="inlineStr">
        <is>
          <t>Namibia</t>
        </is>
      </c>
      <c r="C135" s="59" t="inlineStr">
        <is>
          <t>ESAAMLG</t>
        </is>
      </c>
      <c r="D135" s="59" t="inlineStr">
        <is>
          <t>Mining/Extractives</t>
        </is>
      </c>
      <c r="E135" s="59" t="inlineStr">
        <is>
          <t>Chamber of Mines of Namibia</t>
        </is>
      </c>
      <c r="F135" s="59" t="inlineStr">
        <is>
          <t>Annual Review 2024 (Mitgliederliste)</t>
        </is>
      </c>
      <c r="G135" s="60" t="inlineStr">
        <is>
          <t>https://chamberofmines.org.na/wp-content/uploads/2025/07/Chamber-of-Mines-Annual-Report_web_14-July.pdf</t>
        </is>
      </c>
      <c r="H135" s="59" t="inlineStr">
        <is>
          <t>PDF</t>
        </is>
      </c>
      <c r="I135" s="59" t="inlineStr">
        <is>
          <t>Mitgliedsfirmen (Uran, Diamanten, Gold, Zink, Kupfer, Salz)</t>
        </is>
      </c>
      <c r="J135" s="59" t="inlineStr">
        <is>
          <t>EN</t>
        </is>
      </c>
      <c r="K135" s="59" t="inlineStr">
        <is>
          <t>ja</t>
        </is>
      </c>
      <c r="L135" s="59" t="inlineStr">
        <is>
          <t>Priorität B. Per Websuche auf der offiziellen Domain bestätigt (direkter Abruf in der Sandbox blockiert).</t>
        </is>
      </c>
    </row>
    <row r="136" s="31">
      <c r="B136" s="59" t="inlineStr">
        <is>
          <t>Ghana</t>
        </is>
      </c>
      <c r="C136" s="59" t="inlineStr">
        <is>
          <t>GIABA</t>
        </is>
      </c>
      <c r="D136" s="59" t="inlineStr">
        <is>
          <t>Mining/Extractives</t>
        </is>
      </c>
      <c r="E136" s="59" t="inlineStr">
        <is>
          <t>Minerals Commission Ghana</t>
        </is>
      </c>
      <c r="F136" s="59" t="inlineStr">
        <is>
          <t>Registered Mining Companies (Liste)</t>
        </is>
      </c>
      <c r="G136" s="60" t="inlineStr">
        <is>
          <t>https://www.mincom.gov.gh/wp-content/uploads/2021/10/Companies-Fully-registered.pdf</t>
        </is>
      </c>
      <c r="H136" s="59" t="inlineStr">
        <is>
          <t>PDF</t>
        </is>
      </c>
      <c r="I136" s="59" t="inlineStr">
        <is>
          <t>Registrierte Bergbaufirmen, nach Kategorie (u. a. Large Scale Mining Companies)</t>
        </is>
      </c>
      <c r="J136" s="59" t="inlineStr">
        <is>
          <t>EN</t>
        </is>
      </c>
      <c r="K136" s="59" t="inlineStr">
        <is>
          <t>ja</t>
        </is>
      </c>
      <c r="L136" s="59" t="inlineStr">
        <is>
          <t>Stand 2021; Kontaktadressen über die Firmenwebsites ergänzen. Priorität B. Per Websuche auf der offiziellen Domain bestätigt (direkter Abruf in der Sandbox blockiert).</t>
        </is>
      </c>
    </row>
    <row r="137" s="31">
      <c r="B137" s="59" t="inlineStr">
        <is>
          <t>Ghana</t>
        </is>
      </c>
      <c r="C137" s="59" t="inlineStr">
        <is>
          <t>GIABA</t>
        </is>
      </c>
      <c r="D137" s="59" t="inlineStr">
        <is>
          <t>Mining/Extractives</t>
        </is>
      </c>
      <c r="E137" s="59" t="inlineStr">
        <is>
          <t>Minerals Commission Ghana</t>
        </is>
      </c>
      <c r="F137" s="59" t="inlineStr">
        <is>
          <t>List of Mineral Rights/Concessions</t>
        </is>
      </c>
      <c r="G137" s="60" t="inlineStr">
        <is>
          <t>https://www.mincom.gov.gh/list-of-mineral-rights-concessions/</t>
        </is>
      </c>
      <c r="H137" s="59" t="inlineStr">
        <is>
          <t>HTML</t>
        </is>
      </c>
      <c r="I137" s="59" t="inlineStr">
        <is>
          <t>Bergbaurechte/Konzessionen; Online-Repository unter miningrepository.mincom.gov.gh (teils Login)</t>
        </is>
      </c>
      <c r="J137" s="59" t="inlineStr">
        <is>
          <t>EN</t>
        </is>
      </c>
      <c r="K137" s="59" t="inlineStr">
        <is>
          <t>ja</t>
        </is>
      </c>
      <c r="L137" s="59" t="inlineStr">
        <is>
          <t>Priorität C. Per Websuche auf der offiziellen Domain bestätigt (direkter Abruf in der Sandbox blockiert).</t>
        </is>
      </c>
    </row>
    <row r="138" s="31">
      <c r="B138" s="59" t="inlineStr">
        <is>
          <t>Nigeria</t>
        </is>
      </c>
      <c r="C138" s="59" t="inlineStr">
        <is>
          <t>GIABA</t>
        </is>
      </c>
      <c r="D138" s="59" t="inlineStr">
        <is>
          <t>Mining/Extractives</t>
        </is>
      </c>
      <c r="E138" s="59" t="inlineStr">
        <is>
          <t>Nigeria Mining Cadastre Office (NMCO)</t>
        </is>
      </c>
      <c r="F138" s="59" t="inlineStr">
        <is>
          <t>Publications (u. a. Valid Mineral Titles as at 31 May 2026, Revoked Titles)</t>
        </is>
      </c>
      <c r="G138" s="60" t="inlineStr">
        <is>
          <t>https://www.miningcadastre.gov.ng/publication</t>
        </is>
      </c>
      <c r="H138" s="59" t="inlineStr">
        <is>
          <t>HTML/PDF</t>
        </is>
      </c>
      <c r="I138" s="59" t="inlineStr">
        <is>
          <t>Amtliche Listen gültiger und widerrufener Bergbautitel (5.000+ Titel)</t>
        </is>
      </c>
      <c r="J138" s="59" t="inlineStr">
        <is>
          <t>EN</t>
        </is>
      </c>
      <c r="K138" s="59" t="inlineStr">
        <is>
          <t>ja</t>
        </is>
      </c>
      <c r="L138" s="59" t="inlineStr">
        <is>
          <t>Sehr viele kleine Titelinhaber ohne Kontaktdaten; nach Firmen mit Mining Lease filtern. Priorität C. Per Websuche auf der offiziellen Domain bestätigt (direkter Abruf in der Sandbox blockiert).</t>
        </is>
      </c>
    </row>
    <row r="139" s="31">
      <c r="B139" s="59" t="inlineStr">
        <is>
          <t>DR Congo</t>
        </is>
      </c>
      <c r="C139" s="59" t="inlineStr">
        <is>
          <t>GABAC</t>
        </is>
      </c>
      <c r="D139" s="59" t="inlineStr">
        <is>
          <t>Mining/Extractives</t>
        </is>
      </c>
      <c r="E139" s="59" t="inlineStr">
        <is>
          <t>Cadastre Minier (CAMI)</t>
        </is>
      </c>
      <c r="F139" s="59" t="inlineStr">
        <is>
          <t>Registre des droits miniers et de carrières valides au 31/07/2025</t>
        </is>
      </c>
      <c r="G139" s="60" t="inlineStr">
        <is>
          <t>https://cami.cd/wp-content/uploads/2025/08/REGISTRE_DM_DT_31_07_2025.pdf</t>
        </is>
      </c>
      <c r="H139" s="59" t="inlineStr">
        <is>
          <t>PDF</t>
        </is>
      </c>
      <c r="I139" s="59" t="inlineStr">
        <is>
          <t>Amtliches Register der gültigen Bergbau- und Steinbruchrechte mit Titelinhabern; Karte der Titel unter cami.cd/mes-cartes/</t>
        </is>
      </c>
      <c r="J139" s="59" t="inlineStr">
        <is>
          <t>FR</t>
        </is>
      </c>
      <c r="K139" s="59" t="inlineStr">
        <is>
          <t>ja</t>
        </is>
      </c>
      <c r="L139" s="59" t="inlineStr">
        <is>
          <t>Neuere Fassung (30.09.2026) laut Suche auf cami.cd vorhanden. Viele Explorationstitel; Betreiber mit Permis d'exploitation zuerst. Priorität C. Per Websuche auf der offiziellen Domain bestätigt (direkter Abruf in der Sandbox blockiert).</t>
        </is>
      </c>
    </row>
    <row r="140" s="31">
      <c r="B140" s="59" t="inlineStr">
        <is>
          <t>Tanzania</t>
        </is>
      </c>
      <c r="C140" s="59" t="inlineStr">
        <is>
          <t>ESAAMLG</t>
        </is>
      </c>
      <c r="D140" s="59" t="inlineStr">
        <is>
          <t>Mining/Extractives</t>
        </is>
      </c>
      <c r="E140" s="59" t="inlineStr">
        <is>
          <t>Mining Commission (Tume ya Madini)</t>
        </is>
      </c>
      <c r="F140" s="59" t="inlineStr">
        <is>
          <t>Annual Report 2025</t>
        </is>
      </c>
      <c r="G140" s="60" t="inlineStr">
        <is>
          <t>https://www.tumemadini.go.tz/media/uploads/annual_reports/2025/11/24/REPORT_PRINT_2025_A3LATEST_compressed.pdf</t>
        </is>
      </c>
      <c r="H140" s="59" t="inlineStr">
        <is>
          <t>PDF</t>
        </is>
      </c>
      <c r="I140" s="59" t="inlineStr">
        <is>
          <t>Lizenzstatistik und Sektorüberblick; Lizenzen laufen über das Online Mining Cadastre Transactional Portal</t>
        </is>
      </c>
      <c r="J140" s="59" t="inlineStr">
        <is>
          <t>EN</t>
        </is>
      </c>
      <c r="K140" s="59" t="inlineStr">
        <is>
          <t>ja</t>
        </is>
      </c>
      <c r="L140" s="59" t="inlineStr">
        <is>
          <t>Öffentliche Liste der Lizenzinhaber nicht gefunden; Firmennamen besser aus dem TEITI-Bericht. Priorität C. Per Websuche auf der offiziellen Domain bestätigt (direkter Abruf in der Sandbox blockiert).</t>
        </is>
      </c>
    </row>
    <row r="141" s="31">
      <c r="B141" s="59" t="inlineStr">
        <is>
          <t>Kenya</t>
        </is>
      </c>
      <c r="C141" s="59" t="inlineStr">
        <is>
          <t>ESAAMLG</t>
        </is>
      </c>
      <c r="D141" s="59" t="inlineStr">
        <is>
          <t>Mining/Extractives</t>
        </is>
      </c>
      <c r="E141" s="59" t="inlineStr">
        <is>
          <t>Kenya Chamber of Mines</t>
        </is>
      </c>
      <c r="F141" s="59" t="inlineStr">
        <is>
          <t>Members Hub</t>
        </is>
      </c>
      <c r="G141" s="60" t="inlineStr">
        <is>
          <t>https://kenyachamberofmines.com/members-hub/</t>
        </is>
      </c>
      <c r="H141" s="59" t="inlineStr">
        <is>
          <t>HTML</t>
        </is>
      </c>
      <c r="I141" s="59" t="inlineStr">
        <is>
          <t>Mitgliedsfirmen (Gold, Edelsteine, Exploration, Dienstleister)</t>
        </is>
      </c>
      <c r="J141" s="59" t="inlineStr">
        <is>
          <t>EN</t>
        </is>
      </c>
      <c r="K141" s="59" t="inlineStr">
        <is>
          <t>ja</t>
        </is>
      </c>
      <c r="L141" s="59" t="inlineStr">
        <is>
          <t>Überwiegend kleine Firmen; Mitgliedschaftsstufen unter /membership/. Priorität C. Per Websuche auf der offiziellen Domain bestätigt (direkter Abruf in der Sandbox blockiert).</t>
        </is>
      </c>
    </row>
    <row r="142" s="31">
      <c r="B142" s="59" t="inlineStr">
        <is>
          <t>Senegal</t>
        </is>
      </c>
      <c r="C142" s="59" t="inlineStr">
        <is>
          <t>GIABA</t>
        </is>
      </c>
      <c r="D142" s="59" t="inlineStr">
        <is>
          <t>Mining/Extractives</t>
        </is>
      </c>
      <c r="E142" s="59" t="inlineStr">
        <is>
          <t>ITIE Sénégal</t>
        </is>
      </c>
      <c r="F142" s="59" t="inlineStr">
        <is>
          <t>Rapport ITIE 2024 (Version finale, déc. 2025)</t>
        </is>
      </c>
      <c r="G142" s="60" t="inlineStr">
        <is>
          <t>https://www.itie.sn/wp-content/uploads/2026/01/0.-Rapport-final-ITIE-Senegal-2024-Version-Finale-VF221225-1.pdf</t>
        </is>
      </c>
      <c r="H142" s="59" t="inlineStr">
        <is>
          <t>PDF</t>
        </is>
      </c>
      <c r="I142" s="59" t="inlineStr">
        <is>
          <t>32 Unternehmen im Abgleichsumfang (Bergbau, Öl/Gas); Daten je Firma auch unter donnees.itie.sn/dashboard/</t>
        </is>
      </c>
      <c r="J142" s="59" t="inlineStr">
        <is>
          <t>FR</t>
        </is>
      </c>
      <c r="K142" s="59" t="inlineStr">
        <is>
          <t>ja</t>
        </is>
      </c>
      <c r="L142" s="59" t="inlineStr">
        <is>
          <t>Priorität B. Per Websuche auf der offiziellen Domain bestätigt (direkter Abruf in der Sandbox blockiert).</t>
        </is>
      </c>
    </row>
    <row r="143" s="31">
      <c r="B143" s="59" t="inlineStr">
        <is>
          <t>Guinea</t>
        </is>
      </c>
      <c r="C143" s="59" t="inlineStr">
        <is>
          <t>GIABA</t>
        </is>
      </c>
      <c r="D143" s="59" t="inlineStr">
        <is>
          <t>Mining/Extractives</t>
        </is>
      </c>
      <c r="E143" s="59" t="inlineStr">
        <is>
          <t>ITIE Guinée</t>
        </is>
      </c>
      <c r="F143" s="59" t="inlineStr">
        <is>
          <t>Propriétaires légaux des sociétés minières (XLSX, Stand Mai 2024)</t>
        </is>
      </c>
      <c r="G143" s="60" t="inlineStr">
        <is>
          <t>https://www.itie-guinee.org/proprietaires-legaux-des-societes-minieres/</t>
        </is>
      </c>
      <c r="H143" s="59" t="inlineStr">
        <is>
          <t>HTML/XLSX</t>
        </is>
      </c>
      <c r="I143" s="59" t="inlineStr">
        <is>
          <t>Bergbaugesellschaften mit rechtlichen Eigentümern; Produktion je Firma unter opendata.itie-guinee.org</t>
        </is>
      </c>
      <c r="J143" s="59" t="inlineStr">
        <is>
          <t>FR</t>
        </is>
      </c>
      <c r="K143" s="59" t="inlineStr">
        <is>
          <t>ja</t>
        </is>
      </c>
      <c r="L143" s="59" t="inlineStr">
        <is>
          <t>Bauxit- und Goldfirmen; hoher Bedarf an Anti-Korruptions-Schulung (ITIE-Korruptionsdiagnose 2023). Priorität B. Per Websuche auf der offiziellen Domain bestätigt (direkter Abruf in der Sandbox blockiert).</t>
        </is>
      </c>
    </row>
    <row r="144" s="31">
      <c r="B144" s="59" t="inlineStr">
        <is>
          <t>Mali</t>
        </is>
      </c>
      <c r="C144" s="59" t="inlineStr">
        <is>
          <t>GIABA</t>
        </is>
      </c>
      <c r="D144" s="59" t="inlineStr">
        <is>
          <t>Mining/Extractives</t>
        </is>
      </c>
      <c r="E144" s="59" t="inlineStr">
        <is>
          <t>ITIE Mali</t>
        </is>
      </c>
      <c r="F144" s="59" t="inlineStr">
        <is>
          <t>Rapport ITIE 2023 (version définitive)</t>
        </is>
      </c>
      <c r="G144" s="60" t="inlineStr">
        <is>
          <t>https://itie.ml/wp-content/uploads/2024/06/Rapport-ITIE-2023-_-Version-Definitive.pdf</t>
        </is>
      </c>
      <c r="H144" s="59" t="inlineStr">
        <is>
          <t>PDF</t>
        </is>
      </c>
      <c r="I144" s="59" t="inlineStr">
        <is>
          <t>Liste der Bergbaugesellschaften mit Identifikationsnummer und Rohstoff (Gold, Lithium …)</t>
        </is>
      </c>
      <c r="J144" s="59" t="inlineStr">
        <is>
          <t>FR</t>
        </is>
      </c>
      <c r="K144" s="59" t="inlineStr">
        <is>
          <t>ja</t>
        </is>
      </c>
      <c r="L144" s="59" t="inlineStr">
        <is>
          <t>Sanktions-/Sicherheitslage beachten; nur Firmen mit eigener Website anschreiben. Priorität B. Per Websuche auf der offiziellen Domain bestätigt (direkter Abruf in der Sandbox blockiert).</t>
        </is>
      </c>
    </row>
    <row r="145" s="31">
      <c r="B145" s="59" t="inlineStr">
        <is>
          <t>Burkina Faso</t>
        </is>
      </c>
      <c r="C145" s="59" t="inlineStr">
        <is>
          <t>GIABA</t>
        </is>
      </c>
      <c r="D145" s="59" t="inlineStr">
        <is>
          <t>Mining/Extractives</t>
        </is>
      </c>
      <c r="E145" s="59" t="inlineStr">
        <is>
          <t>EITI / ITIE-BF</t>
        </is>
      </c>
      <c r="F145" s="59" t="inlineStr">
        <is>
          <t>Burkina Faso 2024 EITI Report</t>
        </is>
      </c>
      <c r="G145" s="60" t="inlineStr">
        <is>
          <t>https://eiti.org/documents/burkina-faso-2024-eiti-report</t>
        </is>
      </c>
      <c r="H145" s="59" t="inlineStr">
        <is>
          <t>HTML/PDF</t>
        </is>
      </c>
      <c r="I145" s="59" t="inlineStr">
        <is>
          <t>14 Bergbaugesellschaften im Abgleichsumfang 2024; nationaler Sitz: itie-bf.gov.bf</t>
        </is>
      </c>
      <c r="J145" s="59" t="inlineStr">
        <is>
          <t>FR</t>
        </is>
      </c>
      <c r="K145" s="59" t="inlineStr">
        <is>
          <t>ja</t>
        </is>
      </c>
      <c r="L145" s="59" t="inlineStr">
        <is>
          <t>Sanktions-/Sicherheitslage beachten. Priorität B. Per Websuche auf der offiziellen Domain bestätigt (direkter Abruf in der Sandbox blockiert).</t>
        </is>
      </c>
    </row>
    <row r="146" s="31">
      <c r="B146" s="59" t="inlineStr">
        <is>
          <t>Côte d'Ivoire</t>
        </is>
      </c>
      <c r="C146" s="59" t="inlineStr">
        <is>
          <t>GIABA</t>
        </is>
      </c>
      <c r="D146" s="59" t="inlineStr">
        <is>
          <t>Mining/Extractives</t>
        </is>
      </c>
      <c r="E146" s="59" t="inlineStr">
        <is>
          <t>EITI / ITIE Côte d'Ivoire</t>
        </is>
      </c>
      <c r="F146" s="59" t="inlineStr">
        <is>
          <t>Côte d'Ivoire 2022 EITI Report (+ Scoping-Studie)</t>
        </is>
      </c>
      <c r="G146" s="60" t="inlineStr">
        <is>
          <t>https://eiti.org/documents/cote-divoire-2022-eiti-report</t>
        </is>
      </c>
      <c r="H146" s="59" t="inlineStr">
        <is>
          <t>HTML/PDF</t>
        </is>
      </c>
      <c r="I146" s="59" t="inlineStr">
        <is>
          <t>Bergbau- und Öl/Gas-Unternehmen im Berichtsumfang (Goldminen u. a.)</t>
        </is>
      </c>
      <c r="J146" s="59" t="inlineStr">
        <is>
          <t>FR</t>
        </is>
      </c>
      <c r="K146" s="59" t="inlineStr">
        <is>
          <t>ja</t>
        </is>
      </c>
      <c r="L146" s="59" t="inlineStr">
        <is>
          <t>Branchenverband GPMCI hat keine bestätigte offizielle Website gefunden. Priorität B. Per Websuche auf der offiziellen Domain bestätigt (direkter Abruf in der Sandbox blockiert).</t>
        </is>
      </c>
    </row>
    <row r="147" s="31">
      <c r="B147" s="59" t="inlineStr">
        <is>
          <t>Nigeria</t>
        </is>
      </c>
      <c r="C147" s="59" t="inlineStr">
        <is>
          <t>GIABA</t>
        </is>
      </c>
      <c r="D147" s="59" t="inlineStr">
        <is>
          <t>Mining/Extractives</t>
        </is>
      </c>
      <c r="E147" s="59" t="inlineStr">
        <is>
          <t>NEITI</t>
        </is>
      </c>
      <c r="F147" s="59" t="inlineStr">
        <is>
          <t>Solid Minerals Audits (2015–2023)</t>
        </is>
      </c>
      <c r="G147" s="60" t="inlineStr">
        <is>
          <t>https://www.neiti.gov.ng/audits/solid-minerals</t>
        </is>
      </c>
      <c r="H147" s="59" t="inlineStr">
        <is>
          <t>HTML/PDF</t>
        </is>
      </c>
      <c r="I147" s="59" t="inlineStr">
        <is>
          <t>Berichte mit Anhängen: Firmen, die Royalties und Annual Service Fee gezahlt haben; Produktion je Firma</t>
        </is>
      </c>
      <c r="J147" s="59" t="inlineStr">
        <is>
          <t>EN</t>
        </is>
      </c>
      <c r="K147" s="59" t="inlineStr">
        <is>
          <t>ja</t>
        </is>
      </c>
      <c r="L147" s="59" t="inlineStr">
        <is>
          <t>Priorität B. Per Websuche auf der offiziellen Domain bestätigt (direkter Abruf in der Sandbox blockiert).</t>
        </is>
      </c>
    </row>
    <row r="148" s="31">
      <c r="B148" s="59" t="inlineStr">
        <is>
          <t>Tanzania</t>
        </is>
      </c>
      <c r="C148" s="59" t="inlineStr">
        <is>
          <t>ESAAMLG</t>
        </is>
      </c>
      <c r="D148" s="59" t="inlineStr">
        <is>
          <t>Mining/Extractives</t>
        </is>
      </c>
      <c r="E148" s="59" t="inlineStr">
        <is>
          <t>TEITI</t>
        </is>
      </c>
      <c r="F148" s="59" t="inlineStr">
        <is>
          <t>14th TEITI Report (FY 2021/22)</t>
        </is>
      </c>
      <c r="G148" s="60" t="inlineStr">
        <is>
          <t>https://www.teiti.go.tz/storage/app/uploads/public/668/064/9a9/6680649a98f4c180152519.pdf</t>
        </is>
      </c>
      <c r="H148" s="59" t="inlineStr">
        <is>
          <t>PDF</t>
        </is>
      </c>
      <c r="I148" s="59" t="inlineStr">
        <is>
          <t>56 ausgewählte Rohstofffirmen (Gold, Zement, Gas), 44 abgeglichen</t>
        </is>
      </c>
      <c r="J148" s="59" t="inlineStr">
        <is>
          <t>EN</t>
        </is>
      </c>
      <c r="K148" s="59" t="inlineStr">
        <is>
          <t>ja</t>
        </is>
      </c>
      <c r="L148" s="59" t="inlineStr">
        <is>
          <t>Priorität B. Per Websuche auf der offiziellen Domain bestätigt (direkter Abruf in der Sandbox blockiert).</t>
        </is>
      </c>
    </row>
    <row r="149" s="31">
      <c r="B149" s="59" t="inlineStr">
        <is>
          <t>Zambia</t>
        </is>
      </c>
      <c r="C149" s="59" t="inlineStr">
        <is>
          <t>ESAAMLG</t>
        </is>
      </c>
      <c r="D149" s="59" t="inlineStr">
        <is>
          <t>Mining/Extractives</t>
        </is>
      </c>
      <c r="E149" s="59" t="inlineStr">
        <is>
          <t>Zambia EITI (ZEITI)</t>
        </is>
      </c>
      <c r="F149" s="59" t="inlineStr">
        <is>
          <t>ZEITI Report 2023 and 2024</t>
        </is>
      </c>
      <c r="G149" s="60" t="inlineStr">
        <is>
          <t>https://zambiaeiti.org/wp-content/uploads/2025/10/Zambia-EITI-2023-and-2024-report.pdf</t>
        </is>
      </c>
      <c r="H149" s="59" t="inlineStr">
        <is>
          <t>PDF</t>
        </is>
      </c>
      <c r="I149" s="59" t="inlineStr">
        <is>
          <t>14 Rohstofffirmen im Abgleichsumfang 2023</t>
        </is>
      </c>
      <c r="J149" s="59" t="inlineStr">
        <is>
          <t>EN</t>
        </is>
      </c>
      <c r="K149" s="59" t="inlineStr">
        <is>
          <t>ja</t>
        </is>
      </c>
      <c r="L149" s="59" t="inlineStr">
        <is>
          <t>Priorität B. Per Websuche auf der offiziellen Domain bestätigt (direkter Abruf in der Sandbox blockiert).</t>
        </is>
      </c>
    </row>
    <row r="150" s="31">
      <c r="B150" s="59" t="inlineStr">
        <is>
          <t>Niger</t>
        </is>
      </c>
      <c r="C150" s="59" t="inlineStr">
        <is>
          <t>GIABA</t>
        </is>
      </c>
      <c r="D150" s="59" t="inlineStr">
        <is>
          <t>Mining/Extractives</t>
        </is>
      </c>
      <c r="E150" s="59" t="inlineStr">
        <is>
          <t>ITIE Niger</t>
        </is>
      </c>
      <c r="F150" s="59" t="inlineStr">
        <is>
          <t>Rapport ITIE Niger 2023</t>
        </is>
      </c>
      <c r="G150" s="60" t="inlineStr">
        <is>
          <t>https://itieniger.ne/wp-content/uploads/2026/04/RAPPORT-ITIE-Niger-2023.pdf</t>
        </is>
      </c>
      <c r="H150" s="59" t="inlineStr">
        <is>
          <t>PDF</t>
        </is>
      </c>
      <c r="I150" s="59" t="inlineStr">
        <is>
          <t>Bergbau- und Ölgesellschaften im Abgleichsumfang (Uran, Gold, Kohle)</t>
        </is>
      </c>
      <c r="J150" s="59" t="inlineStr">
        <is>
          <t>FR</t>
        </is>
      </c>
      <c r="K150" s="59" t="inlineStr">
        <is>
          <t>ja</t>
        </is>
      </c>
      <c r="L150" s="59" t="inlineStr">
        <is>
          <t>Politische Lage und Sanktionsrisiken vorab prüfen. Priorität C. Per Websuche auf der offiziellen Domain bestätigt (direkter Abruf in der Sandbox blockiert).</t>
        </is>
      </c>
    </row>
    <row r="151" s="31">
      <c r="B151" s="59" t="inlineStr">
        <is>
          <t>Cameroon</t>
        </is>
      </c>
      <c r="C151" s="59" t="inlineStr">
        <is>
          <t>GABAC</t>
        </is>
      </c>
      <c r="D151" s="59" t="inlineStr">
        <is>
          <t>Mining/Extractives</t>
        </is>
      </c>
      <c r="E151" s="59" t="inlineStr">
        <is>
          <t>EITI / ITIE Cameroun</t>
        </is>
      </c>
      <c r="F151" s="59" t="inlineStr">
        <is>
          <t>Cameroon 2023 EITI Report</t>
        </is>
      </c>
      <c r="G151" s="60" t="inlineStr">
        <is>
          <t>https://eiti.org/documents/cameroon-2023-eiti-report</t>
        </is>
      </c>
      <c r="H151" s="59" t="inlineStr">
        <is>
          <t>HTML/PDF</t>
        </is>
      </c>
      <c r="I151" s="59" t="inlineStr">
        <is>
          <t>Bergbau- und Ölgesellschaften im Berichtsumfang (19 Firmen bei Eigentümerangaben)</t>
        </is>
      </c>
      <c r="J151" s="59" t="inlineStr">
        <is>
          <t>FR</t>
        </is>
      </c>
      <c r="K151" s="59" t="inlineStr">
        <is>
          <t>ja</t>
        </is>
      </c>
      <c r="L151" s="59" t="inlineStr">
        <is>
          <t>Kamerun ist bei EITI suspendiert; Bericht dennoch nutzbar als Firmenliste. Priorität C. Per Websuche auf der offiziellen Domain bestätigt (direkter Abruf in der Sandbox blockiert).</t>
        </is>
      </c>
    </row>
    <row r="152" s="31">
      <c r="B152" s="59" t="inlineStr">
        <is>
          <t>Madagascar</t>
        </is>
      </c>
      <c r="C152" s="59" t="inlineStr">
        <is>
          <t>ESAAMLG</t>
        </is>
      </c>
      <c r="D152" s="59" t="inlineStr">
        <is>
          <t>Mining/Extractives</t>
        </is>
      </c>
      <c r="E152" s="59" t="inlineStr">
        <is>
          <t>EITI Madagascar</t>
        </is>
      </c>
      <c r="F152" s="59" t="inlineStr">
        <is>
          <t>Annexes du rapport assoupli 2019–2020</t>
        </is>
      </c>
      <c r="G152" s="60" t="inlineStr">
        <is>
          <t>https://api.eiti.org/sites/default/files/2022-07/EITI_Annexes%20du%20rapport%20assoupli.pdf</t>
        </is>
      </c>
      <c r="H152" s="59" t="inlineStr">
        <is>
          <t>PDF</t>
        </is>
      </c>
      <c r="I152" s="59" t="inlineStr">
        <is>
          <t>Bergbau- und Ölgesellschaften im Umfang (u. a. Ambatovy, QMM, Holcim)</t>
        </is>
      </c>
      <c r="J152" s="59" t="inlineStr">
        <is>
          <t>FR</t>
        </is>
      </c>
      <c r="K152" s="59" t="inlineStr">
        <is>
          <t>ja</t>
        </is>
      </c>
      <c r="L152" s="59" t="inlineStr">
        <is>
          <t>Älter; Bericht 2023 (veröffentlicht Ende 2025) nennt nur wenige Großfirmen. Priorität C. Per Websuche auf der offiziellen Domain bestätigt (direkter Abruf in der Sandbox blockiert).</t>
        </is>
      </c>
    </row>
    <row r="153" s="31">
      <c r="B153" s="59" t="inlineStr">
        <is>
          <t>Mauritania</t>
        </is>
      </c>
      <c r="C153" s="59" t="inlineStr">
        <is>
          <t>MENAFATF</t>
        </is>
      </c>
      <c r="D153" s="59" t="inlineStr">
        <is>
          <t>Mining/Extractives</t>
        </is>
      </c>
      <c r="E153" s="59" t="inlineStr">
        <is>
          <t>EITI / ITIE Mauritanie</t>
        </is>
      </c>
      <c r="F153" s="59" t="inlineStr">
        <is>
          <t>Rapport ITIE 2019 Mauritanie</t>
        </is>
      </c>
      <c r="G153" s="60" t="inlineStr">
        <is>
          <t>https://eiti.org/sites/default/files/2022-04/rapport_itie_2019_mauritanie.pdf</t>
        </is>
      </c>
      <c r="H153" s="59" t="inlineStr">
        <is>
          <t>PDF</t>
        </is>
      </c>
      <c r="I153" s="59" t="inlineStr">
        <is>
          <t>Bergbau- und Kohlenwasserstoff-Unternehmen, wirtschaftliche Eigentümer</t>
        </is>
      </c>
      <c r="J153" s="59" t="inlineStr">
        <is>
          <t>FR</t>
        </is>
      </c>
      <c r="K153" s="59" t="inlineStr">
        <is>
          <t>ja</t>
        </is>
      </c>
      <c r="L153" s="59" t="inlineStr">
        <is>
          <t>Älter; neuere Berichte auf eiti.org prüfen. Mauretanien ist bisher nicht im Google-Targeting. Priorität C. Per Websuche auf der offiziellen Domain bestätigt (direkter Abruf in der Sandbox blockiert).</t>
        </is>
      </c>
    </row>
    <row r="154" s="31">
      <c r="B154" s="59" t="inlineStr">
        <is>
          <t>Regional</t>
        </is>
      </c>
      <c r="C154" s="59" t="inlineStr">
        <is>
          <t>EITI</t>
        </is>
      </c>
      <c r="D154" s="59" t="inlineStr">
        <is>
          <t>Mining/Extractives</t>
        </is>
      </c>
      <c r="E154" s="59" t="inlineStr">
        <is>
          <t>EITI International Secretariat</t>
        </is>
      </c>
      <c r="F154" s="59" t="inlineStr">
        <is>
          <t>EITI country reports (alle Länderberichte)</t>
        </is>
      </c>
      <c r="G154" s="60" t="inlineStr">
        <is>
          <t>https://eiti.org/eiti-country-reports</t>
        </is>
      </c>
      <c r="H154" s="59" t="inlineStr">
        <is>
          <t>HTML</t>
        </is>
      </c>
      <c r="I154" s="59" t="inlineStr">
        <is>
          <t>Verzeichnis aller nationalen EITI-Berichte; jeder Bericht listet die Rohstofffirmen im Abgleichsumfang</t>
        </is>
      </c>
      <c r="J154" s="59" t="inlineStr">
        <is>
          <t>EN</t>
        </is>
      </c>
      <c r="K154" s="59" t="inlineStr">
        <is>
          <t>ja</t>
        </is>
      </c>
      <c r="L154" s="59" t="inlineStr">
        <is>
          <t>Informationsquelle; Gabun: kein aktueller Bericht per Suche bestätigt, hier nachsehen. Priorität C. Per Websuche auf der offiziellen Domain bestätigt (direkter Abruf in der Sandbox blockiert).</t>
        </is>
      </c>
    </row>
  </sheetData>
  <autoFilter ref="B5:L154"/>
  <hyperlinks>
    <hyperlink xmlns:r="http://schemas.openxmlformats.org/officeDocument/2006/relationships" ref="G6" display="https://www.bceao.int/sites/default/files/2026-04/LISTE%20DES%20%C3%89TABLISSEMENTS%20DE%20CR%C3%89DIT%20AGR%C3%89%C3%89S%20DANS%20L'UMOA%20au%2031%20d%C3%A9cembre%202025.pdf" r:id="rId1"/>
    <hyperlink xmlns:r="http://schemas.openxmlformats.org/officeDocument/2006/relationships" ref="G7" display="https://www.bceao.int/sites/default/files/2026-04/Annuaire-des-Banques-etablissements-financiers-a-caractere-bancaire-et-compagnies-financieres-de-l-UMOA-2024_mars_2026.pdf" r:id="rId2"/>
    <hyperlink xmlns:r="http://schemas.openxmlformats.org/officeDocument/2006/relationships" ref="G8" display="https://www.bceao.int/fr/content/paysage-bancaire" r:id="rId3"/>
    <hyperlink xmlns:r="http://schemas.openxmlformats.org/officeDocument/2006/relationships" ref="G9" display="https://cb-umoa.org/en/institutions-regulated-wamu-banking-commission" r:id="rId4"/>
    <hyperlink xmlns:r="http://schemas.openxmlformats.org/officeDocument/2006/relationships" ref="G10" display="http://www.sgcobac.org/jcms/ess_7505/en/organes-faitiers?opLetterSearch=true&amp;directoryLetter=B&amp;memberId=&amp;directory_start=20&amp;directory_pageSize=50" r:id="rId5"/>
    <hyperlink xmlns:r="http://schemas.openxmlformats.org/officeDocument/2006/relationships" ref="G11" display="https://www.beac.int/supervision-bancaire/lexique-banques-de-cemac/" r:id="rId6"/>
    <hyperlink xmlns:r="http://schemas.openxmlformats.org/officeDocument/2006/relationships" ref="G12" display="https://www.amf-umoa.org/accueil/intervenant" r:id="rId7"/>
    <hyperlink xmlns:r="http://schemas.openxmlformats.org/officeDocument/2006/relationships" ref="G13" display="https://cosumaf.org/liste-intermediaires?category=cif" r:id="rId8"/>
    <hyperlink xmlns:r="http://schemas.openxmlformats.org/officeDocument/2006/relationships" ref="G14" display="https://cosumaf.org/files/documents/01KQRSJ4VRDZJ12Q805HTX1QYE.pdf" r:id="rId9"/>
    <hyperlink xmlns:r="http://schemas.openxmlformats.org/officeDocument/2006/relationships" ref="G15" display="https://www.fatf-gafi.org/en/publications/High-risk-and-other-monitored-jurisdictions/increased-monitoring-june-2026.html" r:id="rId10"/>
    <hyperlink xmlns:r="http://schemas.openxmlformats.org/officeDocument/2006/relationships" ref="G16" display="https://www.fatf-gafi.org/en/countries/black-and-grey-lists.html" r:id="rId11"/>
    <hyperlink xmlns:r="http://schemas.openxmlformats.org/officeDocument/2006/relationships" ref="G17" display="https://www.giaba.org/member-states/pages_faq.html" r:id="rId12"/>
    <hyperlink xmlns:r="http://schemas.openxmlformats.org/officeDocument/2006/relationships" ref="G18" display="https://www.giaba.org/publications/index.html?cat=4" r:id="rId13"/>
    <hyperlink xmlns:r="http://schemas.openxmlformats.org/officeDocument/2006/relationships" ref="G19" display="https://www.esaamlg.org/index.php/countries" r:id="rId14"/>
    <hyperlink xmlns:r="http://schemas.openxmlformats.org/officeDocument/2006/relationships" ref="G20" display="https://www.esaamlg.org/reports/Second%20Round%20MER%20of%20Rwanda-July%202024.pdf" r:id="rId15"/>
    <hyperlink xmlns:r="http://schemas.openxmlformats.org/officeDocument/2006/relationships" ref="G21" display="https://gabac.org/rapports-devaluation-mutuelle/" r:id="rId16"/>
    <hyperlink xmlns:r="http://schemas.openxmlformats.org/officeDocument/2006/relationships" ref="G22" display="https://www.bceao.int/sites/default/files/inline-files/Liste-des-Intermediaires-en-Operation-de-Banque-au-31-decembre-2025.pdf" r:id="rId17"/>
    <hyperlink xmlns:r="http://schemas.openxmlformats.org/officeDocument/2006/relationships" ref="G23" display="https://fanaf.org/wp-content/uploads/2025/04/ANNUAIRE_FANAF_2023_32e_Edition.pdf" r:id="rId18"/>
    <hyperlink xmlns:r="http://schemas.openxmlformats.org/officeDocument/2006/relationships" ref="G24" display="https://cima-afrique.org/wp-content/uploads/2025/03/Bulletin-Officiel-30eme-Edition_compressed.pdf" r:id="rId19"/>
    <hyperlink xmlns:r="http://schemas.openxmlformats.org/officeDocument/2006/relationships" ref="G25" display="https://cima-afrique.org/wp-content/uploads/2024/10/rapport-des-marches-CIMA-2022.pdf" r:id="rId20"/>
    <hyperlink xmlns:r="http://schemas.openxmlformats.org/officeDocument/2006/relationships" ref="G26" display="https://cb-umoa.org/en/landscape-reporting-institutions" r:id="rId21"/>
    <hyperlink xmlns:r="http://schemas.openxmlformats.org/officeDocument/2006/relationships" ref="G27" display="https://www.bceao.int/fr/documents/credit-et-microfinance" r:id="rId22"/>
    <hyperlink xmlns:r="http://schemas.openxmlformats.org/officeDocument/2006/relationships" ref="G28" display="https://www.bceao.int/sites/default/files/2026-03/LISTE%20DES%20ETABLISSEMENTS%20DE%20PAIEMENT%20AGR%C3%89%C3%89S%20DANS%20L%E2%80%99UMOA%20au%2031%20janvier%202026.pdf" r:id="rId23"/>
    <hyperlink xmlns:r="http://schemas.openxmlformats.org/officeDocument/2006/relationships" ref="G29" display="https://www.bceao.int/fr/content/etablissements-de-monnaie-electronique" r:id="rId24"/>
    <hyperlink xmlns:r="http://schemas.openxmlformats.org/officeDocument/2006/relationships" ref="G30" display="https://www.cb-umoa.org/sites/default/files/Liste%20%20des%20EME%20ET%20EP%20de%20l%27UMOA%202026.pdf" r:id="rId25"/>
    <hyperlink xmlns:r="http://schemas.openxmlformats.org/officeDocument/2006/relationships" ref="G31" display="https://www.beac.int/wp-content/uploads/2026/04/RAPPORT-SUR-LES-SERVICES-DE-PAIEMENT-DANS-LA-CEMAC-2024-.pdf" r:id="rId26"/>
    <hyperlink xmlns:r="http://schemas.openxmlformats.org/officeDocument/2006/relationships" ref="G32" display="https://www.bcc.cd/intermediaires-financiers/banques-agreees" r:id="rId27"/>
    <hyperlink xmlns:r="http://schemas.openxmlformats.org/officeDocument/2006/relationships" ref="G33" display="https://www.bcc.cd/intermediaires-financiers" r:id="rId28"/>
    <hyperlink xmlns:r="http://schemas.openxmlformats.org/officeDocument/2006/relationships" ref="G35" display="https://www.bcc.cd/intermediaires-financiers/messageries-financieres" r:id="rId29"/>
    <hyperlink xmlns:r="http://schemas.openxmlformats.org/officeDocument/2006/relationships" ref="G36" display="https://www.acb-rdc.cd" r:id="rId30"/>
    <hyperlink xmlns:r="http://schemas.openxmlformats.org/officeDocument/2006/relationships" ref="G37" display="https://arca.cd/societes-dassurances-2/" r:id="rId31"/>
    <hyperlink xmlns:r="http://schemas.openxmlformats.org/officeDocument/2006/relationships" ref="G38" display="https://arca.cd/intermediaires/" r:id="rId32"/>
    <hyperlink xmlns:r="http://schemas.openxmlformats.org/officeDocument/2006/relationships" ref="G39" display="https://www.bcc.cd/intermediaires-financiers/microfinance" r:id="rId33"/>
    <hyperlink xmlns:r="http://schemas.openxmlformats.org/officeDocument/2006/relationships" ref="G40" display="https://www.bcc.cd/intermediaires-financiers/caisse-epargne-credit" r:id="rId34"/>
    <hyperlink xmlns:r="http://schemas.openxmlformats.org/officeDocument/2006/relationships" ref="G41" display="https://www.bcc.cd/surveillance-des-intermediaires-financiers/intermediaires-financiers-assujettis/etablissements-de-credit/societes-financieres/ee" r:id="rId35"/>
    <hyperlink xmlns:r="http://schemas.openxmlformats.org/officeDocument/2006/relationships" ref="G42" display="https://www.bcc.cd/intermediaires-financiers/prestataires-services-connexes" r:id="rId36"/>
    <hyperlink xmlns:r="http://schemas.openxmlformats.org/officeDocument/2006/relationships" ref="G43" display="https://www.leganet.cd/Legislation/JO/2015/Numeros/JOS.19.02.2015.pdf" r:id="rId37"/>
    <hyperlink xmlns:r="http://schemas.openxmlformats.org/officeDocument/2006/relationships" ref="G44" display="https://www.centralbank.go.ke/wp-content/uploads/2026/07/Directory-of-Licenced-Commercial-Banks-Mortgage-Finance-Institutions-and-Authorised-Non-Operating-Bank-Holding-Companies.pdf" r:id="rId38"/>
    <hyperlink xmlns:r="http://schemas.openxmlformats.org/officeDocument/2006/relationships" ref="G45" display="https://www.centralbank.go.ke/bank-supervision/" r:id="rId39"/>
    <hyperlink xmlns:r="http://schemas.openxmlformats.org/officeDocument/2006/relationships" ref="G46" display="https://licensees.cma.or.ke/licenses/1/" r:id="rId40"/>
    <hyperlink xmlns:r="http://schemas.openxmlformats.org/officeDocument/2006/relationships" ref="G47" display="https://www.frc.go.ke/?page_id=25" r:id="rId41"/>
    <hyperlink xmlns:r="http://schemas.openxmlformats.org/officeDocument/2006/relationships" ref="G48" display="https://www.centralbank.go.ke/wp-content/uploads/2026/02/Directory-of-Licenced-Foreign-Exchange-Bureaus-Feb-2026.pdf" r:id="rId42"/>
    <hyperlink xmlns:r="http://schemas.openxmlformats.org/officeDocument/2006/relationships" ref="G49" display="https://www.centralbank.go.ke/wp-content/uploads/2026/02/Directory-of-Licenced-Money-Remittance-Providers-Feb-2026.pdf" r:id="rId43"/>
    <hyperlink xmlns:r="http://schemas.openxmlformats.org/officeDocument/2006/relationships" ref="G50" display="https://www.kba.co.ke/kba-members/" r:id="rId44"/>
    <hyperlink xmlns:r="http://schemas.openxmlformats.org/officeDocument/2006/relationships" ref="G51" display="https://www.ira.go.ke/lib.html?f=ira-licensed-insurers-and-intermediaries-2025" r:id="rId45"/>
    <hyperlink xmlns:r="http://schemas.openxmlformats.org/officeDocument/2006/relationships" ref="G52" display="https://www.centralbank.go.ke/wp-content/uploads/2026/02/Directory-of-Licenced-Microfinance-Banks-Feb-2026.pdf" r:id="rId46"/>
    <hyperlink xmlns:r="http://schemas.openxmlformats.org/officeDocument/2006/relationships" ref="G53" display="https://www.sasra.go.ke/download/list-of-licensed-and-authorized-sacco-societies-in-kenya-for-the-financial-year-ending-31st-december-2026/" r:id="rId47"/>
    <hyperlink xmlns:r="http://schemas.openxmlformats.org/officeDocument/2006/relationships" ref="G54" display="https://www.centralbank.go.ke/wp-content/uploads/2026/06/Directory-of-Authorized-Payment-Service-Providers-15th-May-2026.pdf" r:id="rId48"/>
    <hyperlink xmlns:r="http://schemas.openxmlformats.org/officeDocument/2006/relationships" ref="G55" display="https://old.icpak.com/cpa-directory" r:id="rId49"/>
    <hyperlink xmlns:r="http://schemas.openxmlformats.org/officeDocument/2006/relationships" ref="G56" display="https://online.lsk.or.ke" r:id="rId50"/>
    <hyperlink xmlns:r="http://schemas.openxmlformats.org/officeDocument/2006/relationships" ref="G57" display="https://www.centralbank.go.ke/uploads/press_releases/665231223_Public%20Notice%20on%20the%20Virtual%20Assets%20Service%20Providers%20Act%202025.pdf" r:id="rId51"/>
    <hyperlink xmlns:r="http://schemas.openxmlformats.org/officeDocument/2006/relationships" ref="G58" display="https://www.cbn.gov.ng/supervision/finstitutions.html" r:id="rId52"/>
    <hyperlink xmlns:r="http://schemas.openxmlformats.org/officeDocument/2006/relationships" ref="G59" display="https://www.cbn.gov.ng/Out/2024/CCD/LIST%20OF%20DEPOSIT%20MONEY%20BANKS%20AS%20AT%2026TH%20APRIL,%202024%20(1).pdf" r:id="rId53"/>
    <hyperlink xmlns:r="http://schemas.openxmlformats.org/officeDocument/2006/relationships" ref="G60" display="https://sec.gov.ng/" r:id="rId54"/>
    <hyperlink xmlns:r="http://schemas.openxmlformats.org/officeDocument/2006/relationships" ref="G61" display="https://www.nfiu.gov.ng/index.php/nfiu" r:id="rId55"/>
    <hyperlink xmlns:r="http://schemas.openxmlformats.org/officeDocument/2006/relationships" ref="G62" display="https://scuml.efcc.gov.ng/" r:id="rId56"/>
    <hyperlink xmlns:r="http://schemas.openxmlformats.org/officeDocument/2006/relationships" ref="G63" display="https://www.cbn.gov.ng/Out/2022/FPRD/LIST%20OF%20CBN%20LICENCED%20BUREAUX%20DE%20CHANGE%20AS%20AT%20DECEMBER%2031,%202021.pdf" r:id="rId57"/>
    <hyperlink xmlns:r="http://schemas.openxmlformats.org/officeDocument/2006/relationships" ref="G64" display="https://www.cibng.org/overview-membership/" r:id="rId58"/>
    <hyperlink xmlns:r="http://schemas.openxmlformats.org/officeDocument/2006/relationships" ref="G65" display="https://naicom.gov.ng/insurance-operators/" r:id="rId59"/>
    <hyperlink xmlns:r="http://schemas.openxmlformats.org/officeDocument/2006/relationships" ref="G66" display="https://naicom.gov.ng/wp-content/uploads/2026/08/List-of-Insurance-Companies-that-Complied-with-the-MCR-Prescribed-by-NIIRA-2025.pdf" r:id="rId60"/>
    <hyperlink xmlns:r="http://schemas.openxmlformats.org/officeDocument/2006/relationships" ref="G67" display="https://www.cbn.gov.ng/Out/2022/FPRD/List%20of%20Microfinance%20Banks%20as%20at%20December%2031,%202021.pdf" r:id="rId61"/>
    <hyperlink xmlns:r="http://schemas.openxmlformats.org/officeDocument/2006/relationships" ref="G68" display="https://www.cbn.gov.ng/PaymentsSystem/PSPs.html" r:id="rId62"/>
    <hyperlink xmlns:r="http://schemas.openxmlformats.org/officeDocument/2006/relationships" ref="G69" display="https://www.cbn.gov.ng/Supervision/Inst-PSB.asp" r:id="rId63"/>
    <hyperlink xmlns:r="http://schemas.openxmlformats.org/officeDocument/2006/relationships" ref="G70" display="https://nigerianbar.org.ng/find-lawyer" r:id="rId64"/>
    <hyperlink xmlns:r="http://schemas.openxmlformats.org/officeDocument/2006/relationships" ref="G71" display="https://icanig.org" r:id="rId65"/>
    <hyperlink xmlns:r="http://schemas.openxmlformats.org/officeDocument/2006/relationships" ref="G72" display="https://www.sec.gov.ng/fintech-and-innovation-hub-finport/registered-fintech-operators/" r:id="rId66"/>
    <hyperlink xmlns:r="http://schemas.openxmlformats.org/officeDocument/2006/relationships" ref="G73" display="https://www.cb-umoa.org/sites/default/files/Liste%20C%C3%B4te%20d'Ivoire%202025.pdf" r:id="rId67"/>
    <hyperlink xmlns:r="http://schemas.openxmlformats.org/officeDocument/2006/relationships" ref="G74" display="https://www.centif.ci/" r:id="rId68"/>
    <hyperlink xmlns:r="http://schemas.openxmlformats.org/officeDocument/2006/relationships" ref="G75" display="https://www.centif.ci/liste-des-sanctions/" r:id="rId69"/>
    <hyperlink xmlns:r="http://schemas.openxmlformats.org/officeDocument/2006/relationships" ref="G76" display="https://annuaireci.com/en/entreprises/apbef-ci-association-professionnelle-des-banques-et-etablissement-financier-de-cote-divoire/" r:id="rId70"/>
    <hyperlink xmlns:r="http://schemas.openxmlformats.org/officeDocument/2006/relationships" ref="G77" display="https://assurances.tresor.gouv.ci/assur/wp-content/uploads/2022/01/Rapport-dactivit%C3%A9s-du-march%C3%A9-ivoirien-des-assurances_Exercice-2019-DEF-Copie-1.pdf" r:id="rId71"/>
    <hyperlink xmlns:r="http://schemas.openxmlformats.org/officeDocument/2006/relationships" ref="G78" display="https://microfinance.tresor.gouv.ci/micro/wp-content/uploads/2020/07/monographie_2018.pdf" r:id="rId72"/>
    <hyperlink xmlns:r="http://schemas.openxmlformats.org/officeDocument/2006/relationships" ref="G79" display="https://www.bceao.int/sites/default/files/inline-files/3%20-%20Liste%20C%C3%B4te%20d_Ivoire_2026.pdf" r:id="rId73"/>
    <hyperlink xmlns:r="http://schemas.openxmlformats.org/officeDocument/2006/relationships" ref="G80" display="https://web.ordredesavocats.ci/" r:id="rId74"/>
    <hyperlink xmlns:r="http://schemas.openxmlformats.org/officeDocument/2006/relationships" ref="G81" display="https://www.cb-umoa.org/sites/default/files/Liste%20S%C3%A9n%C3%A9gal%202025.pdf" r:id="rId75"/>
    <hyperlink xmlns:r="http://schemas.openxmlformats.org/officeDocument/2006/relationships" ref="G82" display="https://www.centif.sn/fr/" r:id="rId76"/>
    <hyperlink xmlns:r="http://schemas.openxmlformats.org/officeDocument/2006/relationships" ref="G83" display="https://www.centif.sn/asset/attachements/rapports/Rapport_activite_2025.pdf.pdf" r:id="rId77"/>
    <hyperlink xmlns:r="http://schemas.openxmlformats.org/officeDocument/2006/relationships" ref="G85" display="https://cb-umoa.org/sites/default/files/Liste%20des%20EME%20SN_2025.pdf" r:id="rId78"/>
    <hyperlink xmlns:r="http://schemas.openxmlformats.org/officeDocument/2006/relationships" ref="G86" display="https://www.onecca.sn" r:id="rId79"/>
    <hyperlink xmlns:r="http://schemas.openxmlformats.org/officeDocument/2006/relationships" ref="G87" display="http://www.sgcobac.org/jcms/ess_6899/en/societe-generale-cameroun" r:id="rId80"/>
    <hyperlink xmlns:r="http://schemas.openxmlformats.org/officeDocument/2006/relationships" ref="G89" display="https://www.osidimbea.cm/associations/patrons/apeccam-fil/" r:id="rId81"/>
    <hyperlink xmlns:r="http://schemas.openxmlformats.org/officeDocument/2006/relationships" ref="G90" display="https://minfi.gov.cm/liste-des-etablissements-de-microfinance-agrees-au-31-decembre-2021/" r:id="rId82"/>
    <hyperlink xmlns:r="http://schemas.openxmlformats.org/officeDocument/2006/relationships" ref="G91" display="https://barreaucameroun.org/fr/" r:id="rId83"/>
    <hyperlink xmlns:r="http://schemas.openxmlformats.org/officeDocument/2006/relationships" ref="G92" display="https://www.onecca.cm" r:id="rId84"/>
    <hyperlink xmlns:r="http://schemas.openxmlformats.org/officeDocument/2006/relationships" ref="G93" display="https://www.bog.gov.gh/supervision-regulation/registered-institutions/banks/" r:id="rId85"/>
    <hyperlink xmlns:r="http://schemas.openxmlformats.org/officeDocument/2006/relationships" ref="G94" display="https://www.bog.gov.gh/supervision-regulation/all-institutions/" r:id="rId86"/>
    <hyperlink xmlns:r="http://schemas.openxmlformats.org/officeDocument/2006/relationships" ref="G95" display="https://licensees.sec.gov.gh/" r:id="rId87"/>
    <hyperlink xmlns:r="http://schemas.openxmlformats.org/officeDocument/2006/relationships" ref="G96" display="https://www.fic.gov.gh/" r:id="rId88"/>
    <hyperlink xmlns:r="http://schemas.openxmlformats.org/officeDocument/2006/relationships" ref="G97" display="https://gab.com.gh/about" r:id="rId89"/>
    <hyperlink xmlns:r="http://schemas.openxmlformats.org/officeDocument/2006/relationships" ref="G98" display="https://nicgh.org/insurers-reinsurers/reinsurers/" r:id="rId90"/>
    <hyperlink xmlns:r="http://schemas.openxmlformats.org/officeDocument/2006/relationships" ref="G99" display="https://www.bog.gov.gh/supervision-regulation/registered-institutions/savings-loans/" r:id="rId91"/>
    <hyperlink xmlns:r="http://schemas.openxmlformats.org/officeDocument/2006/relationships" ref="G100" display="https://www.bog.gov.gh/supervision-regulation/ofisd/" r:id="rId92"/>
    <hyperlink xmlns:r="http://schemas.openxmlformats.org/officeDocument/2006/relationships" ref="G101" display="https://www.bog.gov.gh/wp-content/uploads/2021/04/BOG-Approved-List-of-Electronic-Money-Issuers-and-Payment-Service-Providers.pdf" r:id="rId93"/>
    <hyperlink xmlns:r="http://schemas.openxmlformats.org/officeDocument/2006/relationships" ref="G102" display="https://www.bog.gov.gh/wp-content/uploads/2026/03/FinTech-Sector-Report-2025-FY-1.pdf" r:id="rId94"/>
    <hyperlink xmlns:r="http://schemas.openxmlformats.org/officeDocument/2006/relationships" ref="G103" display="https://www.icagh.org/wp-content/uploads/2026/07/2026-List-of-Licensed-Firms-in-Good-Standing-22.07.2026-Updated.pdf" r:id="rId95"/>
    <hyperlink xmlns:r="http://schemas.openxmlformats.org/officeDocument/2006/relationships" ref="G104" display="https://www.glc.gov.gh/lawyers-in-good-standing" r:id="rId96"/>
    <hyperlink xmlns:r="http://schemas.openxmlformats.org/officeDocument/2006/relationships" ref="G105" display="https://sec.gov.gh/public-notice-full-list-of-virtual-asset-sandbox-participants/" r:id="rId97"/>
    <hyperlink xmlns:r="http://schemas.openxmlformats.org/officeDocument/2006/relationships" ref="G106" display="https://www.bnr.rw/documents/LIST_OF_SUPERVISED_BANKS.pdf" r:id="rId98"/>
    <hyperlink xmlns:r="http://schemas.openxmlformats.org/officeDocument/2006/relationships" ref="G107" display="https://www.cma.rw/licensing/licensees" r:id="rId99"/>
    <hyperlink xmlns:r="http://schemas.openxmlformats.org/officeDocument/2006/relationships" ref="G108" display="https://www.fic.gov.rw/compliance" r:id="rId100"/>
    <hyperlink xmlns:r="http://schemas.openxmlformats.org/officeDocument/2006/relationships" ref="G109" display="https://www.bnr.rw/Forexbureaus" r:id="rId101"/>
    <hyperlink xmlns:r="http://schemas.openxmlformats.org/officeDocument/2006/relationships" ref="G110" display="https://rba.rw/our-team-2/" r:id="rId102"/>
    <hyperlink xmlns:r="http://schemas.openxmlformats.org/officeDocument/2006/relationships" ref="G111" display="https://www.bnr.rw/documents/LIST_OF_LICENSED_INSURERS-UPDATED-Jan_2025_aQrLsOj.pdf" r:id="rId103"/>
    <hyperlink xmlns:r="http://schemas.openxmlformats.org/officeDocument/2006/relationships" ref="G112" display="https://www.bnr.rw/documents/LIST_OF_LICENSED_INSURANCE_AND_REINSURANCE_BROKERS-April_2026_DG6v9R9.pdf" r:id="rId104"/>
    <hyperlink xmlns:r="http://schemas.openxmlformats.org/officeDocument/2006/relationships" ref="G113" display="https://www.bnr.rw/documents/LIST_OF_DEPOSIT_TAKING_MICROFINANCE_INSTITUTIONS_SUPERVISED_BY_BNR.pdf" r:id="rId105"/>
    <hyperlink xmlns:r="http://schemas.openxmlformats.org/officeDocument/2006/relationships" ref="G114" display="https://www.bnr.rw/documents/Licensed_NDFSPs_as_of_01st__October_2025_002_for_Update_to_Website_Final.pdf" r:id="rId106"/>
    <hyperlink xmlns:r="http://schemas.openxmlformats.org/officeDocument/2006/relationships" ref="G115" display="https://www.bnr.rw/documents/Licensed_Institutions_-_November_2025_96EyafM.pdf" r:id="rId107"/>
    <hyperlink xmlns:r="http://schemas.openxmlformats.org/officeDocument/2006/relationships" ref="G116" display="https://icparwanda.com/wp-content/uploads/2025/12/List-of-Firms-2026.pdf" r:id="rId108"/>
    <hyperlink xmlns:r="http://schemas.openxmlformats.org/officeDocument/2006/relationships" ref="G117" display="https://www.rwandabar.org.rw" r:id="rId109"/>
    <hyperlink xmlns:r="http://schemas.openxmlformats.org/officeDocument/2006/relationships" ref="G118" display="http://sgcobac.org/jcms/ess_7052/fr/banque-internationale-pour-le-commerce-et-l-industrie-du-gabon?opLetterSearch=true&amp;directoryLetter=B&amp;memberId=&amp;directory_start=10&amp;directory_pageSize=20" r:id="rId110"/>
    <hyperlink xmlns:r="http://schemas.openxmlformats.org/officeDocument/2006/relationships" ref="G119" display="https://www.fatf-gafi.org/content/dam/fatf-gafi/fsrb-fur/gabon-fur-2026.pdf.coredownload.inline.pdf" r:id="rId111"/>
    <hyperlink xmlns:r="http://schemas.openxmlformats.org/officeDocument/2006/relationships" ref="G121" display="https://www.apecgabon.com" r:id="rId112"/>
    <hyperlink xmlns:r="http://schemas.openxmlformats.org/officeDocument/2006/relationships" ref="G122" display="https://onecgabon.org/wp-content/uploads/pdf/ONEC_tableau_de_lordre_2022.pdf" r:id="rId113"/>
    <hyperlink xmlns:r="http://schemas.openxmlformats.org/officeDocument/2006/relationships" ref="G123" display="https://www.cb-umoa.org/sites/default/files/Liste%20EC%20Mali_2026.pdf" r:id="rId114"/>
    <hyperlink xmlns:r="http://schemas.openxmlformats.org/officeDocument/2006/relationships" ref="G124" display="https://centif.ml/presentation/" r:id="rId115"/>
    <hyperlink xmlns:r="http://schemas.openxmlformats.org/officeDocument/2006/relationships" ref="G125" display="https://www.bceao.int/sites/default/files/inline-files/5%20-%20Liste%20Mali_2026.pdf" r:id="rId116"/>
    <hyperlink xmlns:r="http://schemas.openxmlformats.org/officeDocument/2006/relationships" ref="G126" display="https://cb-umoa.org/sites/default/files/Liste%20Togo%202025.pdf" r:id="rId117"/>
    <hyperlink xmlns:r="http://schemas.openxmlformats.org/officeDocument/2006/relationships" ref="G127" display="https://www.centif.tg/" r:id="rId118"/>
    <hyperlink xmlns:r="http://schemas.openxmlformats.org/officeDocument/2006/relationships" ref="G128" display="http://www.sgcobac.org/jcms/ess_6863/en/ecobank-congo" r:id="rId119"/>
    <hyperlink xmlns:r="http://schemas.openxmlformats.org/officeDocument/2006/relationships" ref="G129" display="https://gabac.org/wp-content/uploads/2022/10/REM-CONGO-ANGLAIS.pdf" r:id="rId120"/>
    <hyperlink xmlns:r="http://schemas.openxmlformats.org/officeDocument/2006/relationships" ref="G131" r:id="rId121"/>
    <hyperlink xmlns:r="http://schemas.openxmlformats.org/officeDocument/2006/relationships" ref="G132" r:id="rId122"/>
    <hyperlink xmlns:r="http://schemas.openxmlformats.org/officeDocument/2006/relationships" ref="G133" r:id="rId123"/>
    <hyperlink xmlns:r="http://schemas.openxmlformats.org/officeDocument/2006/relationships" ref="G134" r:id="rId124"/>
    <hyperlink xmlns:r="http://schemas.openxmlformats.org/officeDocument/2006/relationships" ref="G135" r:id="rId125"/>
    <hyperlink xmlns:r="http://schemas.openxmlformats.org/officeDocument/2006/relationships" ref="G136" r:id="rId126"/>
    <hyperlink xmlns:r="http://schemas.openxmlformats.org/officeDocument/2006/relationships" ref="G137" r:id="rId127"/>
    <hyperlink xmlns:r="http://schemas.openxmlformats.org/officeDocument/2006/relationships" ref="G138" r:id="rId128"/>
    <hyperlink xmlns:r="http://schemas.openxmlformats.org/officeDocument/2006/relationships" ref="G139" r:id="rId129"/>
    <hyperlink xmlns:r="http://schemas.openxmlformats.org/officeDocument/2006/relationships" ref="G140" r:id="rId130"/>
    <hyperlink xmlns:r="http://schemas.openxmlformats.org/officeDocument/2006/relationships" ref="G141" r:id="rId131"/>
    <hyperlink xmlns:r="http://schemas.openxmlformats.org/officeDocument/2006/relationships" ref="G142" r:id="rId132"/>
    <hyperlink xmlns:r="http://schemas.openxmlformats.org/officeDocument/2006/relationships" ref="G143" r:id="rId133"/>
    <hyperlink xmlns:r="http://schemas.openxmlformats.org/officeDocument/2006/relationships" ref="G144" r:id="rId134"/>
    <hyperlink xmlns:r="http://schemas.openxmlformats.org/officeDocument/2006/relationships" ref="G145" r:id="rId135"/>
    <hyperlink xmlns:r="http://schemas.openxmlformats.org/officeDocument/2006/relationships" ref="G146" r:id="rId136"/>
    <hyperlink xmlns:r="http://schemas.openxmlformats.org/officeDocument/2006/relationships" ref="G147" r:id="rId137"/>
    <hyperlink xmlns:r="http://schemas.openxmlformats.org/officeDocument/2006/relationships" ref="G148" r:id="rId138"/>
    <hyperlink xmlns:r="http://schemas.openxmlformats.org/officeDocument/2006/relationships" ref="G149" r:id="rId139"/>
    <hyperlink xmlns:r="http://schemas.openxmlformats.org/officeDocument/2006/relationships" ref="G150" r:id="rId140"/>
    <hyperlink xmlns:r="http://schemas.openxmlformats.org/officeDocument/2006/relationships" ref="G151" r:id="rId141"/>
    <hyperlink xmlns:r="http://schemas.openxmlformats.org/officeDocument/2006/relationships" ref="G152" r:id="rId142"/>
    <hyperlink xmlns:r="http://schemas.openxmlformats.org/officeDocument/2006/relationships" ref="G153" r:id="rId143"/>
    <hyperlink xmlns:r="http://schemas.openxmlformats.org/officeDocument/2006/relationships" ref="G154" r:id="rId14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2026-10-17T10:00:29Z</dcterms:created>
  <dcterms:modified xmlns:dcterms="http://purl.org/dc/terms/" xmlns:xsi="http://www.w3.org/2001/XMLSchema-instance" xsi:type="dcterms:W3CDTF">2026-10-17T15:30:28Z</dcterms:modified>
  <cp:revision>0</cp:revision>
</cp:coreProperties>
</file>